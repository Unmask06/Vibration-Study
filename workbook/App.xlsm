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chnip-my.sharepoint.com/personal/prasanna_palanivel_ten_com/Documents/Calculation/Excel Calculation/Vibration Study/workbook/"/>
    </mc:Choice>
  </mc:AlternateContent>
  <xr:revisionPtr revIDLastSave="32" documentId="13_ncr:1_{0CDFBB6C-EE6F-49B8-A1C1-B4E6562FF0BC}" xr6:coauthVersionLast="47" xr6:coauthVersionMax="47" xr10:uidLastSave="{8D4B9AEF-1CC1-4571-B574-A820B9D7C481}"/>
  <bookViews>
    <workbookView xWindow="-108" yWindow="-108" windowWidth="23256" windowHeight="12456" activeTab="1" xr2:uid="{00000000-000D-0000-FFFF-FFFF00000000}"/>
  </bookViews>
  <sheets>
    <sheet name="AIV" sheetId="3" r:id="rId1"/>
    <sheet name="FIV T2.8" sheetId="4" r:id="rId2"/>
  </sheets>
  <functionGroups builtInGroupCount="19"/>
  <externalReferences>
    <externalReference r:id="rId3"/>
    <externalReference r:id="rId4"/>
    <externalReference r:id="rId5"/>
  </externalReferences>
  <definedNames>
    <definedName name="_xlnm._FilterDatabase" localSheetId="0">AIV!$A$2:$S$30</definedName>
    <definedName name="_Order1" hidden="1">0</definedName>
    <definedName name="Critères">#REF!</definedName>
    <definedName name="_xlnm.Criteria">#REF!</definedName>
    <definedName name="_xlnm.Database">#REF!</definedName>
    <definedName name="Density">#REF!</definedName>
    <definedName name="DisBL">'[1]Volume Calculation'!#REF!</definedName>
    <definedName name="ENTETE">#REF!</definedName>
    <definedName name="flowrate">#REF!</definedName>
    <definedName name="MENU1_1">[2]MACROS!#REF!</definedName>
    <definedName name="MENU1_2">[2]MACROS!#REF!</definedName>
    <definedName name="MENU1_3">[2]MACROS!#REF!</definedName>
    <definedName name="Pipe">#REF!</definedName>
    <definedName name="_xlnm.Print_Area" localSheetId="0">AIV!$A$1:$S$38</definedName>
    <definedName name="_xlnm.Print_Area">#REF!</definedName>
    <definedName name="RATE">#REF!</definedName>
    <definedName name="RATE1">#REF!</definedName>
    <definedName name="Rounding">#REF!</definedName>
    <definedName name="sel_diff_head">#REF!</definedName>
    <definedName name="SP">#REF!</definedName>
    <definedName name="SPP">#REF!</definedName>
    <definedName name="Tin">#REF!</definedName>
    <definedName name="Tout">#REF!</definedName>
    <definedName name="UnitPipe">#REF!</definedName>
    <definedName name="UnitPipeName">#REF!</definedName>
    <definedName name="UnitPress">#REF!</definedName>
    <definedName name="UnitPressName">#REF!</definedName>
    <definedName name="UnitVisco">#REF!</definedName>
    <definedName name="UnitViscoName">#REF!</definedName>
    <definedName name="VAR">[3]MACROS!$G$8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3" l="1"/>
  <c r="N16" i="3" s="1"/>
  <c r="O16" i="3"/>
  <c r="P16" i="3"/>
  <c r="Q16" i="3"/>
  <c r="N31" i="3"/>
  <c r="O31" i="3"/>
  <c r="P31" i="3"/>
  <c r="Q31" i="3"/>
  <c r="S16" i="3" a="1"/>
  <c r="S31" i="3" a="1"/>
  <c r="S16" i="3" l="1"/>
  <c r="S31" i="3"/>
  <c r="N18" i="3" l="1"/>
  <c r="P18" i="3"/>
  <c r="Q18" i="3"/>
  <c r="N19" i="3"/>
  <c r="P19" i="3"/>
  <c r="Q19" i="3"/>
  <c r="N20" i="3"/>
  <c r="P20" i="3"/>
  <c r="Q20" i="3"/>
  <c r="N21" i="3"/>
  <c r="P21" i="3"/>
  <c r="Q21" i="3"/>
  <c r="N22" i="3"/>
  <c r="P22" i="3"/>
  <c r="Q22" i="3"/>
  <c r="N23" i="3"/>
  <c r="P23" i="3"/>
  <c r="Q23" i="3"/>
  <c r="N24" i="3"/>
  <c r="P24" i="3"/>
  <c r="Q24" i="3"/>
  <c r="N25" i="3"/>
  <c r="P25" i="3"/>
  <c r="Q25" i="3"/>
  <c r="N26" i="3"/>
  <c r="P26" i="3"/>
  <c r="Q26" i="3"/>
  <c r="N27" i="3"/>
  <c r="P27" i="3"/>
  <c r="Q27" i="3"/>
  <c r="N28" i="3"/>
  <c r="P28" i="3"/>
  <c r="Q28" i="3"/>
  <c r="N29" i="3"/>
  <c r="O29" i="3"/>
  <c r="P29" i="3"/>
  <c r="Q29" i="3"/>
  <c r="N30" i="3"/>
  <c r="P30" i="3"/>
  <c r="Q30" i="3"/>
  <c r="Q17" i="3"/>
  <c r="P17" i="3"/>
  <c r="N17" i="3"/>
  <c r="O18" i="3"/>
  <c r="O19" i="3"/>
  <c r="O20" i="3"/>
  <c r="O21" i="3"/>
  <c r="O22" i="3"/>
  <c r="O23" i="3"/>
  <c r="O24" i="3"/>
  <c r="O25" i="3"/>
  <c r="O26" i="3"/>
  <c r="O27" i="3"/>
  <c r="O28" i="3"/>
  <c r="O30" i="3"/>
  <c r="O17" i="3"/>
  <c r="Q7" i="3"/>
  <c r="Q8" i="3"/>
  <c r="Q9" i="3"/>
  <c r="Q10" i="3"/>
  <c r="Q11" i="3"/>
  <c r="Q12" i="3"/>
  <c r="Q13" i="3"/>
  <c r="Q14" i="3"/>
  <c r="Q15" i="3"/>
  <c r="P7" i="3"/>
  <c r="P8" i="3"/>
  <c r="P9" i="3"/>
  <c r="P10" i="3"/>
  <c r="P11" i="3"/>
  <c r="P12" i="3"/>
  <c r="P13" i="3"/>
  <c r="P14" i="3"/>
  <c r="P15" i="3"/>
  <c r="O6" i="3"/>
  <c r="O7" i="3"/>
  <c r="O8" i="3"/>
  <c r="O9" i="3"/>
  <c r="O10" i="3"/>
  <c r="O11" i="3"/>
  <c r="O12" i="3"/>
  <c r="O13" i="3"/>
  <c r="O14" i="3"/>
  <c r="O15" i="3"/>
  <c r="O3" i="3"/>
  <c r="S21" i="3" a="1"/>
  <c r="S24" i="3" a="1"/>
  <c r="S28" i="3" a="1"/>
  <c r="S30" i="3" a="1"/>
  <c r="S29" i="3" a="1"/>
  <c r="S26" i="3" a="1"/>
  <c r="S18" i="3" a="1"/>
  <c r="S17" i="3" a="1"/>
  <c r="S25" i="3" a="1"/>
  <c r="S20" i="3" a="1"/>
  <c r="S22" i="3" a="1"/>
  <c r="S19" i="3" a="1"/>
  <c r="S23" i="3" a="1"/>
  <c r="S27" i="3" a="1"/>
  <c r="S30" i="3" l="1"/>
  <c r="S19" i="3"/>
  <c r="S26" i="3"/>
  <c r="S22" i="3"/>
  <c r="S20" i="3"/>
  <c r="S27" i="3"/>
  <c r="S29" i="3"/>
  <c r="S18" i="3"/>
  <c r="S23" i="3"/>
  <c r="S28" i="3"/>
  <c r="S24" i="3"/>
  <c r="S25" i="3"/>
  <c r="S21" i="3"/>
  <c r="S17" i="3"/>
  <c r="O5" i="3"/>
  <c r="O4" i="3"/>
  <c r="Q4" i="3"/>
  <c r="Q5" i="3"/>
  <c r="Q6" i="3"/>
  <c r="Q3" i="3"/>
  <c r="P4" i="3"/>
  <c r="P5" i="3"/>
  <c r="P6" i="3"/>
  <c r="P3" i="3"/>
  <c r="J4" i="3"/>
  <c r="N4" i="3" s="1"/>
  <c r="J5" i="3"/>
  <c r="N5" i="3" s="1"/>
  <c r="J6" i="3"/>
  <c r="N6" i="3" s="1"/>
  <c r="J7" i="3"/>
  <c r="N7" i="3" s="1"/>
  <c r="J8" i="3"/>
  <c r="N8" i="3" s="1"/>
  <c r="J9" i="3"/>
  <c r="N9" i="3" s="1"/>
  <c r="J10" i="3"/>
  <c r="N10" i="3" s="1"/>
  <c r="J11" i="3"/>
  <c r="N11" i="3" s="1"/>
  <c r="J12" i="3"/>
  <c r="N12" i="3" s="1"/>
  <c r="J13" i="3"/>
  <c r="N13" i="3" s="1"/>
  <c r="J14" i="3"/>
  <c r="N14" i="3" s="1"/>
  <c r="J15" i="3"/>
  <c r="N15" i="3" s="1"/>
  <c r="J3" i="3"/>
  <c r="N3" i="3" s="1"/>
  <c r="S13" i="3" a="1"/>
  <c r="S3" i="3" a="1"/>
  <c r="S9" i="3" a="1"/>
  <c r="S4" i="3" a="1"/>
  <c r="S14" i="3" a="1"/>
  <c r="S11" i="3" a="1"/>
  <c r="S6" i="3" a="1"/>
  <c r="S8" i="3" a="1"/>
  <c r="S12" i="3" a="1"/>
  <c r="S10" i="3" a="1"/>
  <c r="S15" i="3" a="1"/>
  <c r="S7" i="3" a="1"/>
  <c r="S5" i="3" a="1"/>
  <c r="S5" i="3" l="1"/>
  <c r="S8" i="3"/>
  <c r="S7" i="3"/>
  <c r="S6" i="3"/>
  <c r="S15" i="3"/>
  <c r="S4" i="3"/>
  <c r="S14" i="3"/>
  <c r="S13" i="3"/>
  <c r="S12" i="3"/>
  <c r="S11" i="3"/>
  <c r="S10" i="3"/>
  <c r="S9" i="3"/>
  <c r="S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<sst xmlns="http://schemas.openxmlformats.org/spreadsheetml/2006/main" count="312" uniqueCount="218">
  <si>
    <t>Location</t>
  </si>
  <si>
    <t>kg/h</t>
  </si>
  <si>
    <t>dB</t>
  </si>
  <si>
    <t>#</t>
  </si>
  <si>
    <t>Tag</t>
  </si>
  <si>
    <t>Unit</t>
  </si>
  <si>
    <t>P&amp;ID No.</t>
  </si>
  <si>
    <t>Upstream Pressure</t>
  </si>
  <si>
    <t>Downstream Pressure</t>
  </si>
  <si>
    <t>Mass Flowrate</t>
  </si>
  <si>
    <t>Upstream Temperature</t>
  </si>
  <si>
    <t>Mol. Weight</t>
  </si>
  <si>
    <t>barg</t>
  </si>
  <si>
    <t>°C</t>
  </si>
  <si>
    <t>AC1-PSV-0015A/B</t>
  </si>
  <si>
    <t>AC1-PSV-1432A/B</t>
  </si>
  <si>
    <t>AC1-PSV-1481A/B</t>
  </si>
  <si>
    <t>AC5-PSV-1429A/B</t>
  </si>
  <si>
    <t>AC5-PSV-1464A/B/C</t>
  </si>
  <si>
    <t>AP1-PSV-1391A/B</t>
  </si>
  <si>
    <t>AU2-PSV-1203A/B</t>
  </si>
  <si>
    <t>PI-AC0-A1-0001-004</t>
  </si>
  <si>
    <t>PI-AC1-A1-0001-001</t>
  </si>
  <si>
    <t>PI-AC1-A1-0001-002</t>
  </si>
  <si>
    <t>PI-AC1-A1-0001-004</t>
  </si>
  <si>
    <t>PI-AC5-A1-0001-001</t>
  </si>
  <si>
    <t>PI-AC5-A1-0001-002</t>
  </si>
  <si>
    <t>PI-AP1-A1-0001-001</t>
  </si>
  <si>
    <t>PI-AP1-A1-0001-007</t>
  </si>
  <si>
    <t>PI-AU2-A1-0001-002</t>
  </si>
  <si>
    <t>PI-AU2-A1-0001-006</t>
  </si>
  <si>
    <t>DC Suction Scrubber (DC-1)</t>
  </si>
  <si>
    <t>Dual Compressor Package-1</t>
  </si>
  <si>
    <t>DC Discharge Scrubber (DC-1)</t>
  </si>
  <si>
    <t>LC Suction Scrubber (LC-1)</t>
  </si>
  <si>
    <t>LC Compressor Package-1</t>
  </si>
  <si>
    <t>Slug Catcher Train -1</t>
  </si>
  <si>
    <t>First Stage Separator-1</t>
  </si>
  <si>
    <t>Low Temperature Separator</t>
  </si>
  <si>
    <t>Nitrogen Receiver</t>
  </si>
  <si>
    <t>Air Receiver</t>
  </si>
  <si>
    <t>lb/h</t>
  </si>
  <si>
    <t>AP1-PSV-0334A/B</t>
  </si>
  <si>
    <t>AC1-PSV-1450A/B/C/D</t>
  </si>
  <si>
    <t>AP1-PSV-1016A/B/C</t>
  </si>
  <si>
    <t>AP1-PSV-1341A/B/C/D</t>
  </si>
  <si>
    <t>AC5-PSV-1462A/B</t>
  </si>
  <si>
    <t>PI-AP0-A1-0001-004</t>
  </si>
  <si>
    <t>PI-AC5-A1-0001-003</t>
  </si>
  <si>
    <t xml:space="preserve">Export/Import Manifold Assembly </t>
  </si>
  <si>
    <t>Dual Compressors Discharge Header</t>
  </si>
  <si>
    <t>Cooling gas Network</t>
  </si>
  <si>
    <t>PSV</t>
  </si>
  <si>
    <t>Set Pressure</t>
  </si>
  <si>
    <t>%</t>
  </si>
  <si>
    <t>psig</t>
  </si>
  <si>
    <t>Over Pressure</t>
  </si>
  <si>
    <t>Relieving Pressure</t>
  </si>
  <si>
    <t>°F</t>
  </si>
  <si>
    <t>Relieving Flowrate</t>
  </si>
  <si>
    <t>Relieving Temperature</t>
  </si>
  <si>
    <t>g/mol</t>
  </si>
  <si>
    <t>Total Back pressure</t>
  </si>
  <si>
    <t>AIV limit 155 dB</t>
  </si>
  <si>
    <t>30W-BDV-0105</t>
  </si>
  <si>
    <t>30W-BDV-0205</t>
  </si>
  <si>
    <t>30W-BDV-0305</t>
  </si>
  <si>
    <t>AC1-BDV-0003</t>
  </si>
  <si>
    <t>AC1-BDV-0016</t>
  </si>
  <si>
    <t>AC1-BDV-0018</t>
  </si>
  <si>
    <t>AC1-BDV-0023</t>
  </si>
  <si>
    <t>AC1-BDV-1007</t>
  </si>
  <si>
    <t>AC5-BDV-0022</t>
  </si>
  <si>
    <t>AC5-BDV-0030</t>
  </si>
  <si>
    <t>AC5-BDV-1007</t>
  </si>
  <si>
    <t>AP1-BDV-0304</t>
  </si>
  <si>
    <t>AP1-BDV-1043</t>
  </si>
  <si>
    <t>AP1-BDV-1399</t>
  </si>
  <si>
    <t>PI-AP0-A1-0001-001</t>
  </si>
  <si>
    <t>PI-AP0-A1-0001-002</t>
  </si>
  <si>
    <t>PI-AP0-A1-0001-003</t>
  </si>
  <si>
    <t>PI-AC0-A1-0001-001</t>
  </si>
  <si>
    <t>PI-AC0-A1-0001-003</t>
  </si>
  <si>
    <t>PI-AC0-A1-0001-002</t>
  </si>
  <si>
    <t>PI-AC0-A1-0001-006</t>
  </si>
  <si>
    <t>PI-AP1-A1-0001-002</t>
  </si>
  <si>
    <t>PI-AP1-A1-0001-004</t>
  </si>
  <si>
    <t>North Wells Inlet Manifold</t>
  </si>
  <si>
    <t>South Wells Inlet Manifold</t>
  </si>
  <si>
    <t>Future Wells Inlet Manifold</t>
  </si>
  <si>
    <t>Blowdown Calculation Report ; DSP-ENG-MAR-24SUNECON01-PR-RPT-1004 -A2</t>
  </si>
  <si>
    <t>Dual Compressors Import Suction Header</t>
  </si>
  <si>
    <t>Dual Compressors Export Suction Header</t>
  </si>
  <si>
    <t>Dual Compressors Import Discharge Header</t>
  </si>
  <si>
    <t>Dual Compressors Export discharge Header</t>
  </si>
  <si>
    <t>Slug catcher and inlet cooler</t>
  </si>
  <si>
    <t>Import/ Export  Header</t>
  </si>
  <si>
    <t>LC Compressors Discharge Header</t>
  </si>
  <si>
    <t>DC Compressor Circuit</t>
  </si>
  <si>
    <t>LC Compressor Circuit</t>
  </si>
  <si>
    <t>First Stage Separator</t>
  </si>
  <si>
    <t>BDV</t>
  </si>
  <si>
    <t>Line Number</t>
  </si>
  <si>
    <t>AP1-BH-0018-AD-12"-X</t>
  </si>
  <si>
    <t>AC1-BH-0015-AD-10"-X</t>
  </si>
  <si>
    <t>AC1-BH-1004-AD-18"-X</t>
  </si>
  <si>
    <t>AC5-BH-1008-AD-18"-</t>
  </si>
  <si>
    <t>AC1-BH-1001-AD-6"-X</t>
  </si>
  <si>
    <t>AC1-BH-1007-AD-8"-X</t>
  </si>
  <si>
    <t>AC5-BH-1007-AD-8"-X</t>
  </si>
  <si>
    <t>AP1-BH-1007-AD-8"-X</t>
  </si>
  <si>
    <t>AC5-BH-1003-AD-8"-X</t>
  </si>
  <si>
    <t>AP1-BH-1008-AD-26"-X</t>
  </si>
  <si>
    <t>AP1-BH-1302-AD-6"-X</t>
  </si>
  <si>
    <t>AP1-BH-1311-AD-26"-X</t>
  </si>
  <si>
    <t>AC5-BH-1014-AD-2"-X</t>
  </si>
  <si>
    <t>AU4-BH-1906-AD-8"-X</t>
  </si>
  <si>
    <t>AU4-BH-1908-AD-8"-X</t>
  </si>
  <si>
    <t>AU4-BH-1910-AD-8"-X</t>
  </si>
  <si>
    <t>AC1-BH-0004-AD-8"-X</t>
  </si>
  <si>
    <t>AC1-BH-0003-AD-8"-X</t>
  </si>
  <si>
    <t>AC1-BH-0002-AD-8"-X</t>
  </si>
  <si>
    <t>AC1-BH-0005-AD-8"-X</t>
  </si>
  <si>
    <t>AU4-BH-0004-AD-4"-X</t>
  </si>
  <si>
    <t>AC5-BH-0021-AD-8"-X</t>
  </si>
  <si>
    <t>AC1-BH-1006-AD-8"-X</t>
  </si>
  <si>
    <t>AP1-BH-1303-AD-8"-X</t>
  </si>
  <si>
    <t>AC5-BH-0022-AD-8"-X</t>
  </si>
  <si>
    <t>AU2-VA-1306-AX-10"-X</t>
  </si>
  <si>
    <t>AU2-VA-1202-AX-8"-X</t>
  </si>
  <si>
    <t>AU2-PSV-1321/1340/1330/1331/1343/1344</t>
  </si>
  <si>
    <t>Note 5</t>
  </si>
  <si>
    <t>Line number mentioned are associated with the "A" PSV's</t>
  </si>
  <si>
    <t>AP1</t>
  </si>
  <si>
    <t>AC1</t>
  </si>
  <si>
    <t>AC5</t>
  </si>
  <si>
    <t>AU2</t>
  </si>
  <si>
    <t>30W</t>
  </si>
  <si>
    <t>Notes</t>
  </si>
  <si>
    <t>PWL (Source)
(Note 1)</t>
  </si>
  <si>
    <t>Type</t>
  </si>
  <si>
    <t>AP1-PSV-1309A/B</t>
  </si>
  <si>
    <t>Process Datasheet – PSV ; DSP-ENG-MAR-24SUNECON01-PR-DTS-1035-A2 and Rated Flowrates are referred from the PSV calculation note-  Rev A2</t>
  </si>
  <si>
    <t>AP1-BDV-1355</t>
  </si>
  <si>
    <t>AP1-GD-1308-GB-8"-Ic</t>
  </si>
  <si>
    <t>LT Separator</t>
  </si>
  <si>
    <t>Super imposed back pressure for HP flare system is considered as 3 psig as a conservative approach which can be increased on case to case basis.</t>
  </si>
  <si>
    <t>Parameter</t>
  </si>
  <si>
    <t>Symbol</t>
  </si>
  <si>
    <t>Value</t>
  </si>
  <si>
    <t>ρ</t>
  </si>
  <si>
    <t>kg/m3</t>
  </si>
  <si>
    <t>Dint</t>
  </si>
  <si>
    <t>mm</t>
  </si>
  <si>
    <t>Dext</t>
  </si>
  <si>
    <t>T</t>
  </si>
  <si>
    <t>Pipe schedule factor</t>
  </si>
  <si>
    <t>Ψ</t>
  </si>
  <si>
    <t>-</t>
  </si>
  <si>
    <t>Em</t>
  </si>
  <si>
    <t>Pa</t>
  </si>
  <si>
    <t>Lup</t>
  </si>
  <si>
    <t>m</t>
  </si>
  <si>
    <t>Fluid density</t>
  </si>
  <si>
    <t>Speed of sound</t>
  </si>
  <si>
    <t>c</t>
  </si>
  <si>
    <t>m/s</t>
  </si>
  <si>
    <t>P1</t>
  </si>
  <si>
    <t>Pv</t>
  </si>
  <si>
    <t>v</t>
  </si>
  <si>
    <t>W</t>
  </si>
  <si>
    <t>kg/s</t>
  </si>
  <si>
    <t>γ</t>
  </si>
  <si>
    <t>K</t>
  </si>
  <si>
    <t>Tclose</t>
  </si>
  <si>
    <t>ΔP</t>
  </si>
  <si>
    <t>Closure coefficient</t>
  </si>
  <si>
    <t>φ</t>
  </si>
  <si>
    <t>Support factor</t>
  </si>
  <si>
    <t>θ</t>
  </si>
  <si>
    <t>Ratio of Specific Heat Capacities</t>
  </si>
  <si>
    <t>External Main Line Diameter</t>
  </si>
  <si>
    <t>Internal Main Line Diameter</t>
  </si>
  <si>
    <t>Young’s Modulus of the main line material</t>
  </si>
  <si>
    <t>N/m2</t>
  </si>
  <si>
    <t>Fluid Bulk Modulus</t>
  </si>
  <si>
    <t>Upstream Pipe Length</t>
  </si>
  <si>
    <t>Molecular Weight</t>
  </si>
  <si>
    <t>Mw</t>
  </si>
  <si>
    <t>grams/mol</t>
  </si>
  <si>
    <t>Upstream Static Pressure</t>
  </si>
  <si>
    <t>Pump head at zero flow</t>
  </si>
  <si>
    <t>Pshut-in</t>
  </si>
  <si>
    <t>Vapour Pressure</t>
  </si>
  <si>
    <t>Static Pressure drop</t>
  </si>
  <si>
    <t>Universal Gas Constant</t>
  </si>
  <si>
    <t>R</t>
  </si>
  <si>
    <t>J/kmol·K</t>
  </si>
  <si>
    <t>Main line Wall Thickness</t>
  </si>
  <si>
    <t>Valve Closing Time</t>
  </si>
  <si>
    <t>sec</t>
  </si>
  <si>
    <t>Te</t>
  </si>
  <si>
    <t>Steady State Fluid Velocity</t>
  </si>
  <si>
    <t>Mass Flow Rate</t>
  </si>
  <si>
    <t>Pipe Support Type</t>
  </si>
  <si>
    <t>Main line Wall Thickness for Schedule 40 Piping</t>
  </si>
  <si>
    <t>Valve Type</t>
  </si>
  <si>
    <t>Tsch40</t>
  </si>
  <si>
    <t>-- Derived Parameters for FIV/AIV calculation --</t>
  </si>
  <si>
    <t>Limit force</t>
  </si>
  <si>
    <t>Flim</t>
  </si>
  <si>
    <t>kN</t>
  </si>
  <si>
    <t>Maximum surge pressure</t>
  </si>
  <si>
    <t>Pmax</t>
  </si>
  <si>
    <t>Maximum force</t>
  </si>
  <si>
    <t>Fmax</t>
  </si>
  <si>
    <t>Likelihood of failure</t>
  </si>
  <si>
    <t>LOF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</si>
</sst>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"/>
    <numFmt numFmtId="165" formatCode="_(* #,##0_);_(* \(#,##0\);_(* &quot;-&quot;??_);_(@_)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8"/>
      <color indexed="12"/>
      <name val="Arial"/>
      <family val="2"/>
    </font>
    <font>
      <b/>
      <sz val="10"/>
      <color indexed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0" fontId="4" fillId="0" borderId="0"/>
    <xf numFmtId="43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left"/>
    </xf>
    <xf numFmtId="0" fontId="5" fillId="3" borderId="3" xfId="0" applyFont="1" applyFill="1" applyBorder="1" applyAlignment="1">
      <alignment horizontal="left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165" fontId="0" fillId="0" borderId="0" xfId="5" applyNumberFormat="1" applyFont="1"/>
    <xf numFmtId="0" fontId="2" fillId="4" borderId="3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9" fontId="0" fillId="0" borderId="3" xfId="1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9" fontId="0" fillId="0" borderId="3" xfId="1" applyFont="1" applyFill="1" applyBorder="1" applyAlignment="1">
      <alignment horizontal="center"/>
    </xf>
    <xf numFmtId="0" fontId="0" fillId="0" borderId="3" xfId="0" applyBorder="1"/>
    <xf numFmtId="3" fontId="0" fillId="0" borderId="3" xfId="5" applyNumberFormat="1" applyFont="1" applyFill="1" applyBorder="1" applyAlignment="1">
      <alignment horizontal="center" vertical="center"/>
    </xf>
  </cellXfs>
  <cellStyles count="6">
    <cellStyle name="Comma" xfId="5" builtinId="3"/>
    <cellStyle name="Normal" xfId="0" builtinId="0"/>
    <cellStyle name="Normal 2" xfId="3" xr:uid="{2BC755BC-1D78-4727-B5BB-252B20025373}"/>
    <cellStyle name="Normal 5" xfId="4" xr:uid="{BE26A7F4-5A19-4493-A60A-7544635FFBD6}"/>
    <cellStyle name="Percent" xfId="1" builtinId="5"/>
    <cellStyle name="標準_PRV_Summary_sample" xfId="2" xr:uid="{392C177D-3B54-4909-90F8-97A41EF87891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tp.tpnet.intra\ae_projects_data\218749C001\Works\A312%20-%20Process\16.%20Personal%20Folder\Akshita\Depressurisation\Calculation%20note.xlsx" TargetMode="External"/><Relationship Id="rId1" Type="http://schemas.openxmlformats.org/officeDocument/2006/relationships/externalLinkPath" Target="file:///\\tp.tpnet.intra\ae_projects_data\218749C001\Works\A312%20-%20Process\16.%20Personal%20Folder\Akshita\Depressurisation\Calculation%20no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ae_projects_data\DOCUME~1\NDELFO~1\LOCALS~1\Temp\c.notes.data\BalV_diphasiq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ae_projects_data\Loic_VDV\Dossier%20A&#233;ro\AeroOK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sheet"/>
      <sheetName val="Index"/>
      <sheetName val="Basis"/>
      <sheetName val="BDV Summary"/>
      <sheetName val="AP1-BDV-north well"/>
      <sheetName val="AP1-BDV-north well plot"/>
      <sheetName val="AP1-BDV-south well"/>
      <sheetName val="AP1-BDV-South well plot "/>
      <sheetName val="AP1-BDV-Future well "/>
      <sheetName val="AP1-BDV-Future well plot"/>
      <sheetName val="BDV DC import suction"/>
      <sheetName val="BDV DC import suction Plot"/>
      <sheetName val="BDV DC import discharge "/>
      <sheetName val="BDV DC import Discharg Plot"/>
      <sheetName val="DC export suction"/>
      <sheetName val="BDV DC import discharge header"/>
      <sheetName val="DC export suction Plot "/>
      <sheetName val="DC export discharge"/>
      <sheetName val="DC export discharge plot"/>
      <sheetName val="BDV_import export header"/>
      <sheetName val="BDV_import export header plot"/>
      <sheetName val="Slug catcher"/>
      <sheetName val="Slug catcher Plot"/>
      <sheetName val="LC DISCHARGE HEADER"/>
      <sheetName val="LC Discharge plot"/>
      <sheetName val="DC compressor"/>
      <sheetName val="DC compressor Plot"/>
      <sheetName val="LC DISCHARGE HEADER 0022"/>
      <sheetName val="LC Discharge plot 0022"/>
      <sheetName val="LC COMPRESSOR"/>
      <sheetName val="LC compressor Plot"/>
      <sheetName val="LOW TEMPERATURE SEPARATOR"/>
      <sheetName val="LC import discharge  (2)"/>
      <sheetName val="AC1-V-008 BDV"/>
      <sheetName val="BDV-0321-01"/>
      <sheetName val="BDV-0421-01"/>
      <sheetName val="BDV-1421-01"/>
      <sheetName val="BDV-2832&amp;2842"/>
      <sheetName val="LP"/>
      <sheetName val="BDV-2834&amp;2844"/>
      <sheetName val="MP"/>
      <sheetName val="BDV-2821-03"/>
      <sheetName val="BDV-3131-01"/>
      <sheetName val="BDV-3132&amp;3142"/>
      <sheetName val="HP"/>
      <sheetName val="BDV-3631&amp;3641"/>
      <sheetName val="EGC"/>
      <sheetName val="BDV-2831-02"/>
      <sheetName val="BDV-2833-01"/>
      <sheetName val="Volume Calculation (2)"/>
      <sheetName val="propane compressor (2)"/>
      <sheetName val="LOW TEMPERATURE SEPARATOR pLOT"/>
      <sheetName val="First Stage Separator"/>
      <sheetName val="First Stage separator plot"/>
      <sheetName val="Volume Calcul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UIDE"/>
      <sheetName val="NOTE DE CALCUL"/>
      <sheetName val="STANDARD_CALCULATION"/>
      <sheetName val="CALCULS"/>
      <sheetName val="MACROS"/>
      <sheetName val="BalV_diphasiques"/>
    </sheetNames>
    <sheetDataSet>
      <sheetData sheetId="0"/>
      <sheetData sheetId="1"/>
      <sheetData sheetId="2" refreshError="1"/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TE DE CALCUL"/>
      <sheetName val="MACROS"/>
      <sheetName val="GUIDE"/>
    </sheetNames>
    <sheetDataSet>
      <sheetData sheetId="0" refreshError="1"/>
      <sheetData sheetId="1">
        <row r="8">
          <cell r="G8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84EDF-B6B2-4C58-96EC-C479804B00ED}">
  <sheetPr codeName="Sheet1">
    <pageSetUpPr fitToPage="1"/>
  </sheetPr>
  <dimension ref="A1:V68"/>
  <sheetViews>
    <sheetView zoomScaleNormal="100" zoomScaleSheetLayoutView="85" workbookViewId="0">
      <pane xSplit="4" ySplit="2" topLeftCell="I11" activePane="bottomRight" state="frozen"/>
      <selection pane="topRight" activeCell="E1" sqref="E1"/>
      <selection pane="bottomLeft" activeCell="A5" sqref="A5"/>
      <selection pane="bottomRight" activeCell="D24" sqref="D24"/>
    </sheetView>
  </sheetViews>
  <sheetFormatPr defaultRowHeight="14.4"/>
  <cols>
    <col min="1" max="1" width="3.77734375" style="1" customWidth="1"/>
    <col min="2" max="3" width="8.77734375" style="1" customWidth="1"/>
    <col min="4" max="4" width="37.33203125" style="14" bestFit="1" customWidth="1"/>
    <col min="5" max="5" width="25.77734375" style="14" customWidth="1"/>
    <col min="6" max="6" width="40.77734375" style="14" customWidth="1"/>
    <col min="7" max="7" width="20.77734375" style="14" customWidth="1"/>
    <col min="8" max="9" width="10.77734375" customWidth="1"/>
    <col min="10" max="19" width="12.77734375" style="1" customWidth="1"/>
    <col min="21" max="21" width="38.6640625" bestFit="1" customWidth="1"/>
    <col min="22" max="22" width="13.109375" bestFit="1" customWidth="1"/>
  </cols>
  <sheetData>
    <row r="1" spans="1:22" s="3" customFormat="1" ht="60" customHeight="1">
      <c r="A1" s="4" t="s">
        <v>3</v>
      </c>
      <c r="B1" s="5" t="s">
        <v>5</v>
      </c>
      <c r="C1" s="5" t="s">
        <v>140</v>
      </c>
      <c r="D1" s="12" t="s">
        <v>4</v>
      </c>
      <c r="E1" s="12" t="s">
        <v>102</v>
      </c>
      <c r="F1" s="12" t="s">
        <v>0</v>
      </c>
      <c r="G1" s="12" t="s">
        <v>6</v>
      </c>
      <c r="H1" s="12" t="s">
        <v>53</v>
      </c>
      <c r="I1" s="12" t="s">
        <v>56</v>
      </c>
      <c r="J1" s="5" t="s">
        <v>57</v>
      </c>
      <c r="K1" s="5" t="s">
        <v>62</v>
      </c>
      <c r="L1" s="5" t="s">
        <v>59</v>
      </c>
      <c r="M1" s="5" t="s">
        <v>60</v>
      </c>
      <c r="N1" s="26" t="s">
        <v>7</v>
      </c>
      <c r="O1" s="26" t="s">
        <v>8</v>
      </c>
      <c r="P1" s="26" t="s">
        <v>9</v>
      </c>
      <c r="Q1" s="26" t="s">
        <v>10</v>
      </c>
      <c r="R1" s="5" t="s">
        <v>11</v>
      </c>
      <c r="S1" s="6" t="s">
        <v>139</v>
      </c>
    </row>
    <row r="2" spans="1:22" s="20" customFormat="1" ht="15" customHeight="1">
      <c r="A2" s="15"/>
      <c r="B2" s="16"/>
      <c r="C2" s="16"/>
      <c r="D2" s="17"/>
      <c r="E2" s="18" t="s">
        <v>131</v>
      </c>
      <c r="F2" s="17"/>
      <c r="G2" s="17"/>
      <c r="H2" s="27" t="s">
        <v>55</v>
      </c>
      <c r="I2" s="27" t="s">
        <v>54</v>
      </c>
      <c r="J2" s="16" t="s">
        <v>55</v>
      </c>
      <c r="K2" s="16" t="s">
        <v>55</v>
      </c>
      <c r="L2" s="16" t="s">
        <v>41</v>
      </c>
      <c r="M2" s="16" t="s">
        <v>58</v>
      </c>
      <c r="N2" s="16" t="s">
        <v>12</v>
      </c>
      <c r="O2" s="16" t="s">
        <v>12</v>
      </c>
      <c r="P2" s="16" t="s">
        <v>1</v>
      </c>
      <c r="Q2" s="16" t="s">
        <v>13</v>
      </c>
      <c r="R2" s="16" t="s">
        <v>61</v>
      </c>
      <c r="S2" s="19" t="s">
        <v>2</v>
      </c>
    </row>
    <row r="3" spans="1:22" ht="19.95" customHeight="1">
      <c r="A3" s="2">
        <v>1</v>
      </c>
      <c r="B3" s="7" t="s">
        <v>133</v>
      </c>
      <c r="C3" s="7" t="s">
        <v>52</v>
      </c>
      <c r="D3" s="13" t="s">
        <v>42</v>
      </c>
      <c r="E3" s="13" t="s">
        <v>103</v>
      </c>
      <c r="F3" s="13" t="s">
        <v>49</v>
      </c>
      <c r="G3" s="13" t="s">
        <v>47</v>
      </c>
      <c r="H3" s="28">
        <v>960</v>
      </c>
      <c r="I3" s="29">
        <v>1.1000000000000001</v>
      </c>
      <c r="J3" s="8">
        <f>H3*I3</f>
        <v>1056</v>
      </c>
      <c r="K3" s="30">
        <v>3</v>
      </c>
      <c r="L3" s="33">
        <v>716006</v>
      </c>
      <c r="M3" s="7">
        <v>99</v>
      </c>
      <c r="N3" s="8">
        <f t="shared" ref="N3:N31" si="0">J3/14.5038</f>
        <v>72.808505357216731</v>
      </c>
      <c r="O3" s="8">
        <f t="shared" ref="O3:O31" si="1">K3/14.5038</f>
        <v>0.20684234476482025</v>
      </c>
      <c r="P3" s="9">
        <f t="shared" ref="P3:P31" si="2">L3/2.20462</f>
        <v>324775.24471337465</v>
      </c>
      <c r="Q3" s="10">
        <f t="shared" ref="Q3:Q31" si="3">CONVERT(M3,"F","C")</f>
        <v>37.222222222222221</v>
      </c>
      <c r="R3" s="7">
        <v>17.3</v>
      </c>
      <c r="S3" s="11" t="e" cm="1">
        <f t="array" aca="1" ref="S3" ca="1">AIV_PWL(N3,O3,P3,Q3,R3)</f>
        <v>#NAME?</v>
      </c>
      <c r="V3" s="25"/>
    </row>
    <row r="4" spans="1:22" ht="19.95" customHeight="1">
      <c r="A4" s="2">
        <v>2</v>
      </c>
      <c r="B4" s="7" t="s">
        <v>134</v>
      </c>
      <c r="C4" s="7" t="s">
        <v>52</v>
      </c>
      <c r="D4" s="13" t="s">
        <v>14</v>
      </c>
      <c r="E4" s="13" t="s">
        <v>104</v>
      </c>
      <c r="F4" s="13" t="s">
        <v>50</v>
      </c>
      <c r="G4" s="13" t="s">
        <v>21</v>
      </c>
      <c r="H4" s="28">
        <v>1450</v>
      </c>
      <c r="I4" s="29">
        <v>1.1000000000000001</v>
      </c>
      <c r="J4" s="8">
        <f t="shared" ref="J4:J15" si="4">H4*I4</f>
        <v>1595.0000000000002</v>
      </c>
      <c r="K4" s="30">
        <v>3</v>
      </c>
      <c r="L4" s="33">
        <v>261603</v>
      </c>
      <c r="M4" s="7">
        <v>130.9</v>
      </c>
      <c r="N4" s="8">
        <f t="shared" si="0"/>
        <v>109.97117996662945</v>
      </c>
      <c r="O4" s="8">
        <f t="shared" si="1"/>
        <v>0.20684234476482025</v>
      </c>
      <c r="P4" s="9">
        <f t="shared" si="2"/>
        <v>118661.26588709166</v>
      </c>
      <c r="Q4" s="10">
        <f t="shared" si="3"/>
        <v>54.944444444444443</v>
      </c>
      <c r="R4" s="7">
        <v>16.899999999999999</v>
      </c>
      <c r="S4" s="11" t="e" cm="1">
        <f t="array" aca="1" ref="S4" ca="1">AIV_PWL(N4,O4,P4,Q4,R4)</f>
        <v>#NAME?</v>
      </c>
      <c r="V4" s="25"/>
    </row>
    <row r="5" spans="1:22" ht="19.95" customHeight="1">
      <c r="A5" s="2">
        <v>3</v>
      </c>
      <c r="B5" s="7" t="s">
        <v>134</v>
      </c>
      <c r="C5" s="7" t="s">
        <v>52</v>
      </c>
      <c r="D5" s="13" t="s">
        <v>15</v>
      </c>
      <c r="E5" s="13" t="s">
        <v>107</v>
      </c>
      <c r="F5" s="13" t="s">
        <v>31</v>
      </c>
      <c r="G5" s="13" t="s">
        <v>22</v>
      </c>
      <c r="H5" s="28">
        <v>1450</v>
      </c>
      <c r="I5" s="29">
        <v>1.21</v>
      </c>
      <c r="J5" s="8">
        <f t="shared" si="4"/>
        <v>1754.5</v>
      </c>
      <c r="K5" s="30">
        <v>3</v>
      </c>
      <c r="L5" s="33">
        <v>9537</v>
      </c>
      <c r="M5" s="7">
        <v>1099</v>
      </c>
      <c r="N5" s="8">
        <f t="shared" si="0"/>
        <v>120.96829796329237</v>
      </c>
      <c r="O5" s="8">
        <f t="shared" si="1"/>
        <v>0.20684234476482025</v>
      </c>
      <c r="P5" s="9">
        <f t="shared" si="2"/>
        <v>4325.9155772876966</v>
      </c>
      <c r="Q5" s="10">
        <f t="shared" si="3"/>
        <v>592.77777777777771</v>
      </c>
      <c r="R5" s="7">
        <v>16.899999999999999</v>
      </c>
      <c r="S5" s="11" t="e" cm="1">
        <f t="array" aca="1" ref="S5" ca="1">AIV_PWL(N5,O5,P5,Q5,R5)</f>
        <v>#NAME?</v>
      </c>
      <c r="V5" s="25"/>
    </row>
    <row r="6" spans="1:22" ht="19.95" customHeight="1">
      <c r="A6" s="2">
        <v>4</v>
      </c>
      <c r="B6" s="7" t="s">
        <v>134</v>
      </c>
      <c r="C6" s="7" t="s">
        <v>52</v>
      </c>
      <c r="D6" s="13" t="s">
        <v>43</v>
      </c>
      <c r="E6" s="13" t="s">
        <v>105</v>
      </c>
      <c r="F6" s="13" t="s">
        <v>32</v>
      </c>
      <c r="G6" s="13" t="s">
        <v>23</v>
      </c>
      <c r="H6" s="28">
        <v>1450</v>
      </c>
      <c r="I6" s="29">
        <v>1.1000000000000001</v>
      </c>
      <c r="J6" s="8">
        <f t="shared" si="4"/>
        <v>1595.0000000000002</v>
      </c>
      <c r="K6" s="30">
        <v>3</v>
      </c>
      <c r="L6" s="33">
        <v>269500</v>
      </c>
      <c r="M6" s="7">
        <v>206.3</v>
      </c>
      <c r="N6" s="8">
        <f t="shared" si="0"/>
        <v>109.97117996662945</v>
      </c>
      <c r="O6" s="8">
        <f t="shared" si="1"/>
        <v>0.20684234476482025</v>
      </c>
      <c r="P6" s="9">
        <f t="shared" si="2"/>
        <v>122243.28909290492</v>
      </c>
      <c r="Q6" s="10">
        <f t="shared" si="3"/>
        <v>96.833333333333343</v>
      </c>
      <c r="R6" s="7">
        <v>17.100000000000001</v>
      </c>
      <c r="S6" s="11" t="e" cm="1">
        <f t="array" aca="1" ref="S6" ca="1">AIV_PWL(N6,O6,P6,Q6,R6)</f>
        <v>#NAME?</v>
      </c>
      <c r="V6" s="25"/>
    </row>
    <row r="7" spans="1:22" ht="19.95" customHeight="1">
      <c r="A7" s="2">
        <v>5</v>
      </c>
      <c r="B7" s="7" t="s">
        <v>134</v>
      </c>
      <c r="C7" s="7" t="s">
        <v>52</v>
      </c>
      <c r="D7" s="13" t="s">
        <v>16</v>
      </c>
      <c r="E7" s="13" t="s">
        <v>108</v>
      </c>
      <c r="F7" s="13" t="s">
        <v>33</v>
      </c>
      <c r="G7" s="13" t="s">
        <v>24</v>
      </c>
      <c r="H7" s="28">
        <v>1450</v>
      </c>
      <c r="I7" s="29">
        <v>1.21</v>
      </c>
      <c r="J7" s="8">
        <f t="shared" si="4"/>
        <v>1754.5</v>
      </c>
      <c r="K7" s="30">
        <v>3</v>
      </c>
      <c r="L7" s="33">
        <v>14520</v>
      </c>
      <c r="M7" s="7">
        <v>592</v>
      </c>
      <c r="N7" s="8">
        <f t="shared" si="0"/>
        <v>120.96829796329237</v>
      </c>
      <c r="O7" s="8">
        <f t="shared" si="1"/>
        <v>0.20684234476482025</v>
      </c>
      <c r="P7" s="9">
        <f t="shared" si="2"/>
        <v>6586.1690450054894</v>
      </c>
      <c r="Q7" s="10">
        <f t="shared" si="3"/>
        <v>311.11111111111109</v>
      </c>
      <c r="R7" s="7">
        <v>16.899999999999999</v>
      </c>
      <c r="S7" s="11" t="e" cm="1">
        <f t="array" aca="1" ref="S7" ca="1">AIV_PWL(N7,O7,P7,Q7,R7)</f>
        <v>#NAME?</v>
      </c>
      <c r="V7" s="25"/>
    </row>
    <row r="8" spans="1:22" ht="19.95" customHeight="1">
      <c r="A8" s="2">
        <v>6</v>
      </c>
      <c r="B8" s="7" t="s">
        <v>135</v>
      </c>
      <c r="C8" s="7" t="s">
        <v>52</v>
      </c>
      <c r="D8" s="13" t="s">
        <v>17</v>
      </c>
      <c r="E8" s="13" t="s">
        <v>111</v>
      </c>
      <c r="F8" s="13" t="s">
        <v>34</v>
      </c>
      <c r="G8" s="13" t="s">
        <v>25</v>
      </c>
      <c r="H8" s="28">
        <v>3500</v>
      </c>
      <c r="I8" s="29">
        <v>1.21</v>
      </c>
      <c r="J8" s="8">
        <f t="shared" si="4"/>
        <v>4235</v>
      </c>
      <c r="K8" s="30">
        <v>3</v>
      </c>
      <c r="L8" s="33">
        <v>11990</v>
      </c>
      <c r="M8" s="7">
        <v>1099</v>
      </c>
      <c r="N8" s="8">
        <f t="shared" si="0"/>
        <v>291.99244335967126</v>
      </c>
      <c r="O8" s="8">
        <f t="shared" si="1"/>
        <v>0.20684234476482025</v>
      </c>
      <c r="P8" s="9">
        <f t="shared" si="2"/>
        <v>5438.5789841333208</v>
      </c>
      <c r="Q8" s="10">
        <f t="shared" si="3"/>
        <v>592.77777777777771</v>
      </c>
      <c r="R8" s="7">
        <v>16.899999999999999</v>
      </c>
      <c r="S8" s="11" t="e" cm="1">
        <f t="array" aca="1" ref="S8" ca="1">AIV_PWL(N8,O8,P8,Q8,R8)</f>
        <v>#NAME?</v>
      </c>
      <c r="V8" s="25"/>
    </row>
    <row r="9" spans="1:22" ht="19.95" customHeight="1">
      <c r="A9" s="2">
        <v>7</v>
      </c>
      <c r="B9" s="7" t="s">
        <v>135</v>
      </c>
      <c r="C9" s="7" t="s">
        <v>52</v>
      </c>
      <c r="D9" s="13" t="s">
        <v>18</v>
      </c>
      <c r="E9" s="13" t="s">
        <v>106</v>
      </c>
      <c r="F9" s="13" t="s">
        <v>35</v>
      </c>
      <c r="G9" s="13" t="s">
        <v>26</v>
      </c>
      <c r="H9" s="28">
        <v>3500</v>
      </c>
      <c r="I9" s="31">
        <v>1.1000000000000001</v>
      </c>
      <c r="J9" s="8">
        <f t="shared" si="4"/>
        <v>3850.0000000000005</v>
      </c>
      <c r="K9" s="30">
        <v>3</v>
      </c>
      <c r="L9" s="33">
        <v>244300</v>
      </c>
      <c r="M9" s="7">
        <v>348.4</v>
      </c>
      <c r="N9" s="8">
        <f t="shared" si="0"/>
        <v>265.44767578151937</v>
      </c>
      <c r="O9" s="8">
        <f t="shared" si="1"/>
        <v>0.20684234476482025</v>
      </c>
      <c r="P9" s="9">
        <f t="shared" si="2"/>
        <v>110812.74777512679</v>
      </c>
      <c r="Q9" s="10">
        <f t="shared" si="3"/>
        <v>175.77777777777777</v>
      </c>
      <c r="R9" s="7">
        <v>16.899999999999999</v>
      </c>
      <c r="S9" s="11" t="e" cm="1">
        <f t="array" aca="1" ref="S9" ca="1">AIV_PWL(N9,O9,P9,Q9,R9)</f>
        <v>#NAME?</v>
      </c>
      <c r="V9" s="25"/>
    </row>
    <row r="10" spans="1:22" ht="19.95" customHeight="1">
      <c r="A10" s="2">
        <v>8</v>
      </c>
      <c r="B10" s="7" t="s">
        <v>133</v>
      </c>
      <c r="C10" s="7" t="s">
        <v>52</v>
      </c>
      <c r="D10" s="13" t="s">
        <v>44</v>
      </c>
      <c r="E10" s="13" t="s">
        <v>112</v>
      </c>
      <c r="F10" s="13" t="s">
        <v>36</v>
      </c>
      <c r="G10" s="13" t="s">
        <v>27</v>
      </c>
      <c r="H10" s="28">
        <v>1450</v>
      </c>
      <c r="I10" s="31">
        <v>1.1000000000000001</v>
      </c>
      <c r="J10" s="8">
        <f t="shared" si="4"/>
        <v>1595.0000000000002</v>
      </c>
      <c r="K10" s="30">
        <v>3</v>
      </c>
      <c r="L10" s="33">
        <v>963400</v>
      </c>
      <c r="M10" s="7">
        <v>183.1</v>
      </c>
      <c r="N10" s="8">
        <f t="shared" si="0"/>
        <v>109.97117996662945</v>
      </c>
      <c r="O10" s="8">
        <f t="shared" si="1"/>
        <v>0.20684234476482025</v>
      </c>
      <c r="P10" s="9">
        <f t="shared" si="2"/>
        <v>436991.4089502953</v>
      </c>
      <c r="Q10" s="10">
        <f t="shared" si="3"/>
        <v>83.944444444444443</v>
      </c>
      <c r="R10" s="7">
        <v>17.3</v>
      </c>
      <c r="S10" s="11" t="e" cm="1">
        <f t="array" aca="1" ref="S10" ca="1">AIV_PWL(N10,O10,P10,Q10,R10)</f>
        <v>#NAME?</v>
      </c>
      <c r="V10" s="25"/>
    </row>
    <row r="11" spans="1:22" ht="19.95" customHeight="1">
      <c r="A11" s="2">
        <v>9</v>
      </c>
      <c r="B11" s="7" t="s">
        <v>133</v>
      </c>
      <c r="C11" s="7" t="s">
        <v>52</v>
      </c>
      <c r="D11" s="13" t="s">
        <v>19</v>
      </c>
      <c r="E11" s="13" t="s">
        <v>113</v>
      </c>
      <c r="F11" s="13" t="s">
        <v>37</v>
      </c>
      <c r="G11" s="13" t="s">
        <v>28</v>
      </c>
      <c r="H11" s="28">
        <v>1450</v>
      </c>
      <c r="I11" s="29">
        <v>1.21</v>
      </c>
      <c r="J11" s="8">
        <f t="shared" si="4"/>
        <v>1754.5</v>
      </c>
      <c r="K11" s="30">
        <v>3</v>
      </c>
      <c r="L11" s="33">
        <v>68930</v>
      </c>
      <c r="M11" s="7">
        <v>458</v>
      </c>
      <c r="N11" s="8">
        <f t="shared" si="0"/>
        <v>120.96829796329237</v>
      </c>
      <c r="O11" s="8">
        <f t="shared" si="1"/>
        <v>0.20684234476482025</v>
      </c>
      <c r="P11" s="9">
        <f t="shared" si="2"/>
        <v>31266.159247398646</v>
      </c>
      <c r="Q11" s="10">
        <f t="shared" si="3"/>
        <v>236.66666666666666</v>
      </c>
      <c r="R11" s="7">
        <v>29.98</v>
      </c>
      <c r="S11" s="11" t="e" cm="1">
        <f t="array" aca="1" ref="S11" ca="1">AIV_PWL(N11,O11,P11,Q11,R11)</f>
        <v>#NAME?</v>
      </c>
      <c r="V11" s="25"/>
    </row>
    <row r="12" spans="1:22" ht="19.95" customHeight="1">
      <c r="A12" s="2">
        <v>10</v>
      </c>
      <c r="B12" s="7" t="s">
        <v>133</v>
      </c>
      <c r="C12" s="7" t="s">
        <v>52</v>
      </c>
      <c r="D12" s="13" t="s">
        <v>45</v>
      </c>
      <c r="E12" s="13" t="s">
        <v>114</v>
      </c>
      <c r="F12" s="13" t="s">
        <v>38</v>
      </c>
      <c r="G12" s="13" t="s">
        <v>28</v>
      </c>
      <c r="H12" s="28">
        <v>960</v>
      </c>
      <c r="I12" s="31">
        <v>1.1000000000000001</v>
      </c>
      <c r="J12" s="8">
        <f t="shared" si="4"/>
        <v>1056</v>
      </c>
      <c r="K12" s="30">
        <v>3</v>
      </c>
      <c r="L12" s="33">
        <v>1185000</v>
      </c>
      <c r="M12" s="7">
        <v>14.5</v>
      </c>
      <c r="N12" s="8">
        <f t="shared" si="0"/>
        <v>72.808505357216731</v>
      </c>
      <c r="O12" s="8">
        <f t="shared" si="1"/>
        <v>0.20684234476482025</v>
      </c>
      <c r="P12" s="9">
        <f t="shared" si="2"/>
        <v>537507.59768123308</v>
      </c>
      <c r="Q12" s="10">
        <f t="shared" si="3"/>
        <v>-9.7222222222222214</v>
      </c>
      <c r="R12" s="7">
        <v>17.04</v>
      </c>
      <c r="S12" s="11" t="e" cm="1">
        <f t="array" aca="1" ref="S12" ca="1">AIV_PWL(N12,O12,P12,Q12,R12)</f>
        <v>#NAME?</v>
      </c>
      <c r="V12" s="25"/>
    </row>
    <row r="13" spans="1:22" ht="19.95" customHeight="1">
      <c r="A13" s="2">
        <v>11</v>
      </c>
      <c r="B13" s="7" t="s">
        <v>135</v>
      </c>
      <c r="C13" s="7" t="s">
        <v>52</v>
      </c>
      <c r="D13" s="13" t="s">
        <v>46</v>
      </c>
      <c r="E13" s="13" t="s">
        <v>115</v>
      </c>
      <c r="F13" s="13" t="s">
        <v>51</v>
      </c>
      <c r="G13" s="13" t="s">
        <v>48</v>
      </c>
      <c r="H13" s="28">
        <v>2625</v>
      </c>
      <c r="I13" s="31">
        <v>1.1000000000000001</v>
      </c>
      <c r="J13" s="8">
        <f t="shared" si="4"/>
        <v>2887.5000000000005</v>
      </c>
      <c r="K13" s="30">
        <v>3</v>
      </c>
      <c r="L13" s="33">
        <v>34924.03</v>
      </c>
      <c r="M13" s="7">
        <v>348.4</v>
      </c>
      <c r="N13" s="8">
        <f t="shared" si="0"/>
        <v>199.08575683613952</v>
      </c>
      <c r="O13" s="8">
        <f t="shared" si="1"/>
        <v>0.20684234476482025</v>
      </c>
      <c r="P13" s="9">
        <f t="shared" si="2"/>
        <v>15841.292376917565</v>
      </c>
      <c r="Q13" s="10">
        <f t="shared" si="3"/>
        <v>175.77777777777777</v>
      </c>
      <c r="R13" s="7">
        <v>16.899999999999999</v>
      </c>
      <c r="S13" s="11" t="e" cm="1">
        <f t="array" aca="1" ref="S13" ca="1">AIV_PWL(N13,O13,P13,Q13,R13)</f>
        <v>#NAME?</v>
      </c>
      <c r="V13" s="25"/>
    </row>
    <row r="14" spans="1:22" ht="19.95" customHeight="1">
      <c r="A14" s="2">
        <v>12</v>
      </c>
      <c r="B14" s="7" t="s">
        <v>136</v>
      </c>
      <c r="C14" s="7" t="s">
        <v>52</v>
      </c>
      <c r="D14" s="13" t="s">
        <v>20</v>
      </c>
      <c r="E14" s="13" t="s">
        <v>129</v>
      </c>
      <c r="F14" s="13" t="s">
        <v>39</v>
      </c>
      <c r="G14" s="13" t="s">
        <v>29</v>
      </c>
      <c r="H14" s="28">
        <v>150</v>
      </c>
      <c r="I14" s="29">
        <v>1.21</v>
      </c>
      <c r="J14" s="8">
        <f t="shared" si="4"/>
        <v>181.5</v>
      </c>
      <c r="K14" s="30">
        <v>3</v>
      </c>
      <c r="L14" s="33">
        <v>11502</v>
      </c>
      <c r="M14" s="7">
        <v>481.5</v>
      </c>
      <c r="N14" s="8">
        <f t="shared" si="0"/>
        <v>12.513961858271625</v>
      </c>
      <c r="O14" s="8">
        <f t="shared" si="1"/>
        <v>0.20684234476482025</v>
      </c>
      <c r="P14" s="9">
        <f t="shared" si="2"/>
        <v>5217.2256443287279</v>
      </c>
      <c r="Q14" s="10">
        <f t="shared" si="3"/>
        <v>249.72222222222223</v>
      </c>
      <c r="R14" s="7">
        <v>28</v>
      </c>
      <c r="S14" s="11" t="e" cm="1">
        <f t="array" aca="1" ref="S14" ca="1">AIV_PWL(N14,O14,P14,Q14,R14)</f>
        <v>#NAME?</v>
      </c>
      <c r="V14" s="25"/>
    </row>
    <row r="15" spans="1:22" ht="19.95" customHeight="1">
      <c r="A15" s="2">
        <v>13</v>
      </c>
      <c r="B15" s="7" t="s">
        <v>136</v>
      </c>
      <c r="C15" s="7" t="s">
        <v>52</v>
      </c>
      <c r="D15" s="13" t="s">
        <v>130</v>
      </c>
      <c r="E15" s="13" t="s">
        <v>128</v>
      </c>
      <c r="F15" s="13" t="s">
        <v>40</v>
      </c>
      <c r="G15" s="13" t="s">
        <v>30</v>
      </c>
      <c r="H15" s="28">
        <v>150</v>
      </c>
      <c r="I15" s="29">
        <v>1.21</v>
      </c>
      <c r="J15" s="8">
        <f t="shared" si="4"/>
        <v>181.5</v>
      </c>
      <c r="K15" s="30">
        <v>3</v>
      </c>
      <c r="L15" s="33">
        <v>32172</v>
      </c>
      <c r="M15" s="7">
        <v>403</v>
      </c>
      <c r="N15" s="8">
        <f t="shared" si="0"/>
        <v>12.513961858271625</v>
      </c>
      <c r="O15" s="8">
        <f t="shared" si="1"/>
        <v>0.20684234476482025</v>
      </c>
      <c r="P15" s="9">
        <f t="shared" si="2"/>
        <v>14592.991082363402</v>
      </c>
      <c r="Q15" s="10">
        <f t="shared" si="3"/>
        <v>206.11111111111111</v>
      </c>
      <c r="R15" s="7">
        <v>29</v>
      </c>
      <c r="S15" s="11" t="e" cm="1">
        <f t="array" aca="1" ref="S15" ca="1">AIV_PWL(N15,O15,P15,Q15,R15)</f>
        <v>#NAME?</v>
      </c>
      <c r="V15" s="25"/>
    </row>
    <row r="16" spans="1:22" ht="19.95" customHeight="1">
      <c r="A16" s="2"/>
      <c r="B16" s="7"/>
      <c r="C16" s="7"/>
      <c r="D16" s="13"/>
      <c r="E16" s="13"/>
      <c r="F16" s="13"/>
      <c r="G16" s="13"/>
      <c r="H16" s="28">
        <v>1349</v>
      </c>
      <c r="I16" s="29">
        <v>1.1000000000000001</v>
      </c>
      <c r="J16" s="8">
        <f t="shared" ref="J16" si="5">H16*I16</f>
        <v>1483.9</v>
      </c>
      <c r="K16" s="30">
        <v>3</v>
      </c>
      <c r="L16" s="33">
        <v>281233</v>
      </c>
      <c r="M16" s="7">
        <v>99</v>
      </c>
      <c r="N16" s="8">
        <f t="shared" ref="N16" si="6">J16/14.5038</f>
        <v>102.3111184655056</v>
      </c>
      <c r="O16" s="8">
        <f t="shared" ref="O16" si="7">K16/14.5038</f>
        <v>0.20684234476482025</v>
      </c>
      <c r="P16" s="9">
        <f t="shared" ref="P16" si="8">L16/2.20462</f>
        <v>127565.29469931326</v>
      </c>
      <c r="Q16" s="10">
        <f t="shared" ref="Q16" si="9">CONVERT(M16,"F","C")</f>
        <v>37.222222222222221</v>
      </c>
      <c r="R16" s="7">
        <v>29</v>
      </c>
      <c r="S16" s="11" t="e" cm="1">
        <f t="array" aca="1" ref="S16" ca="1">AIV_PWL(N16,O16,P16,Q16,R16)</f>
        <v>#NAME?</v>
      </c>
      <c r="V16" s="25"/>
    </row>
    <row r="17" spans="1:19" ht="19.95" customHeight="1">
      <c r="A17" s="2">
        <v>14</v>
      </c>
      <c r="B17" s="7" t="s">
        <v>137</v>
      </c>
      <c r="C17" s="7" t="s">
        <v>101</v>
      </c>
      <c r="D17" s="13" t="s">
        <v>64</v>
      </c>
      <c r="E17" s="13" t="s">
        <v>116</v>
      </c>
      <c r="F17" s="13" t="s">
        <v>87</v>
      </c>
      <c r="G17" s="13" t="s">
        <v>78</v>
      </c>
      <c r="H17" s="28"/>
      <c r="I17" s="29"/>
      <c r="J17" s="8">
        <v>1185</v>
      </c>
      <c r="K17" s="30">
        <v>3</v>
      </c>
      <c r="L17" s="33">
        <v>37928.031453957497</v>
      </c>
      <c r="M17" s="8">
        <v>183.1</v>
      </c>
      <c r="N17" s="8">
        <f t="shared" si="0"/>
        <v>81.702726182104001</v>
      </c>
      <c r="O17" s="8">
        <f t="shared" si="1"/>
        <v>0.20684234476482025</v>
      </c>
      <c r="P17" s="9">
        <f t="shared" si="2"/>
        <v>17203.88613636704</v>
      </c>
      <c r="Q17" s="10">
        <f t="shared" si="3"/>
        <v>83.944444444444443</v>
      </c>
      <c r="R17" s="7">
        <v>16.899999999999999</v>
      </c>
      <c r="S17" s="11" t="e" cm="1">
        <f t="array" aca="1" ref="S17" ca="1">AIV_PWL(N17,O17,P17,Q17,R17)</f>
        <v>#NAME?</v>
      </c>
    </row>
    <row r="18" spans="1:19" ht="19.95" customHeight="1">
      <c r="A18" s="2">
        <v>15</v>
      </c>
      <c r="B18" s="7" t="s">
        <v>137</v>
      </c>
      <c r="C18" s="7" t="s">
        <v>101</v>
      </c>
      <c r="D18" s="13" t="s">
        <v>65</v>
      </c>
      <c r="E18" s="13" t="s">
        <v>117</v>
      </c>
      <c r="F18" s="13" t="s">
        <v>88</v>
      </c>
      <c r="G18" s="13" t="s">
        <v>79</v>
      </c>
      <c r="H18" s="28"/>
      <c r="I18" s="29"/>
      <c r="J18" s="8">
        <v>1185</v>
      </c>
      <c r="K18" s="30">
        <v>3</v>
      </c>
      <c r="L18" s="33">
        <v>37928.031453957497</v>
      </c>
      <c r="M18" s="8">
        <v>183.1</v>
      </c>
      <c r="N18" s="8">
        <f t="shared" si="0"/>
        <v>81.702726182104001</v>
      </c>
      <c r="O18" s="8">
        <f t="shared" si="1"/>
        <v>0.20684234476482025</v>
      </c>
      <c r="P18" s="9">
        <f t="shared" si="2"/>
        <v>17203.88613636704</v>
      </c>
      <c r="Q18" s="10">
        <f t="shared" si="3"/>
        <v>83.944444444444443</v>
      </c>
      <c r="R18" s="7">
        <v>16.899999999999999</v>
      </c>
      <c r="S18" s="11" t="e" cm="1">
        <f t="array" aca="1" ref="S18" ca="1">AIV_PWL(N18,O18,P18,Q18,R18)</f>
        <v>#NAME?</v>
      </c>
    </row>
    <row r="19" spans="1:19" ht="19.95" customHeight="1">
      <c r="A19" s="2">
        <v>16</v>
      </c>
      <c r="B19" s="7" t="s">
        <v>137</v>
      </c>
      <c r="C19" s="7" t="s">
        <v>101</v>
      </c>
      <c r="D19" s="13" t="s">
        <v>66</v>
      </c>
      <c r="E19" s="13" t="s">
        <v>118</v>
      </c>
      <c r="F19" s="13" t="s">
        <v>89</v>
      </c>
      <c r="G19" s="13" t="s">
        <v>80</v>
      </c>
      <c r="H19" s="28"/>
      <c r="I19" s="29"/>
      <c r="J19" s="8">
        <v>1185</v>
      </c>
      <c r="K19" s="30">
        <v>3</v>
      </c>
      <c r="L19" s="33">
        <v>37928.031453957497</v>
      </c>
      <c r="M19" s="8">
        <v>183.1</v>
      </c>
      <c r="N19" s="8">
        <f t="shared" si="0"/>
        <v>81.702726182104001</v>
      </c>
      <c r="O19" s="8">
        <f t="shared" si="1"/>
        <v>0.20684234476482025</v>
      </c>
      <c r="P19" s="9">
        <f t="shared" si="2"/>
        <v>17203.88613636704</v>
      </c>
      <c r="Q19" s="10">
        <f t="shared" si="3"/>
        <v>83.944444444444443</v>
      </c>
      <c r="R19" s="7">
        <v>16.899999999999999</v>
      </c>
      <c r="S19" s="11" t="e" cm="1">
        <f t="array" aca="1" ref="S19" ca="1">AIV_PWL(N19,O19,P19,Q19,R19)</f>
        <v>#NAME?</v>
      </c>
    </row>
    <row r="20" spans="1:19" ht="19.95" customHeight="1">
      <c r="A20" s="2">
        <v>17</v>
      </c>
      <c r="B20" s="7" t="s">
        <v>134</v>
      </c>
      <c r="C20" s="7" t="s">
        <v>101</v>
      </c>
      <c r="D20" s="13" t="s">
        <v>70</v>
      </c>
      <c r="E20" s="13" t="s">
        <v>119</v>
      </c>
      <c r="F20" s="13" t="s">
        <v>91</v>
      </c>
      <c r="G20" s="13" t="s">
        <v>83</v>
      </c>
      <c r="H20" s="28"/>
      <c r="I20" s="29"/>
      <c r="J20" s="8">
        <v>630</v>
      </c>
      <c r="K20" s="30">
        <v>3</v>
      </c>
      <c r="L20" s="33">
        <v>42518.660796019998</v>
      </c>
      <c r="M20" s="8">
        <v>99</v>
      </c>
      <c r="N20" s="8">
        <f t="shared" si="0"/>
        <v>43.436892400612251</v>
      </c>
      <c r="O20" s="8">
        <f t="shared" si="1"/>
        <v>0.20684234476482025</v>
      </c>
      <c r="P20" s="9">
        <f t="shared" si="2"/>
        <v>19286.163055773784</v>
      </c>
      <c r="Q20" s="10">
        <f t="shared" si="3"/>
        <v>37.222222222222221</v>
      </c>
      <c r="R20" s="7">
        <v>16.899999999999999</v>
      </c>
      <c r="S20" s="11" t="e" cm="1">
        <f t="array" aca="1" ref="S20" ca="1">AIV_PWL(N20,O20,P20,Q20,R20)</f>
        <v>#NAME?</v>
      </c>
    </row>
    <row r="21" spans="1:19" ht="19.95" customHeight="1">
      <c r="A21" s="2">
        <v>18</v>
      </c>
      <c r="B21" s="7" t="s">
        <v>134</v>
      </c>
      <c r="C21" s="7" t="s">
        <v>101</v>
      </c>
      <c r="D21" s="13" t="s">
        <v>68</v>
      </c>
      <c r="E21" s="13" t="s">
        <v>120</v>
      </c>
      <c r="F21" s="13" t="s">
        <v>92</v>
      </c>
      <c r="G21" s="13" t="s">
        <v>81</v>
      </c>
      <c r="H21" s="28"/>
      <c r="I21" s="29"/>
      <c r="J21" s="8">
        <v>900</v>
      </c>
      <c r="K21" s="30">
        <v>3</v>
      </c>
      <c r="L21" s="33">
        <v>82094.199962547806</v>
      </c>
      <c r="M21" s="8">
        <v>131</v>
      </c>
      <c r="N21" s="8">
        <f t="shared" si="0"/>
        <v>62.052703429446076</v>
      </c>
      <c r="O21" s="8">
        <f t="shared" si="1"/>
        <v>0.20684234476482025</v>
      </c>
      <c r="P21" s="9">
        <f t="shared" si="2"/>
        <v>37237.347008803248</v>
      </c>
      <c r="Q21" s="10">
        <f t="shared" si="3"/>
        <v>55</v>
      </c>
      <c r="R21" s="7">
        <v>16.899999999999999</v>
      </c>
      <c r="S21" s="11" t="e" cm="1">
        <f t="array" aca="1" ref="S21" ca="1">AIV_PWL(N21,O21,P21,Q21,R21)</f>
        <v>#NAME?</v>
      </c>
    </row>
    <row r="22" spans="1:19" ht="19.95" customHeight="1">
      <c r="A22" s="2">
        <v>19</v>
      </c>
      <c r="B22" s="7" t="s">
        <v>134</v>
      </c>
      <c r="C22" s="7" t="s">
        <v>101</v>
      </c>
      <c r="D22" s="13" t="s">
        <v>67</v>
      </c>
      <c r="E22" s="13" t="s">
        <v>121</v>
      </c>
      <c r="F22" s="13" t="s">
        <v>93</v>
      </c>
      <c r="G22" s="13" t="s">
        <v>21</v>
      </c>
      <c r="H22" s="28"/>
      <c r="I22" s="29"/>
      <c r="J22" s="8">
        <v>952.4</v>
      </c>
      <c r="K22" s="30">
        <v>3</v>
      </c>
      <c r="L22" s="33">
        <v>63947.285621660099</v>
      </c>
      <c r="M22" s="8">
        <v>130.9</v>
      </c>
      <c r="N22" s="8">
        <f t="shared" si="0"/>
        <v>65.665549718004939</v>
      </c>
      <c r="O22" s="8">
        <f t="shared" si="1"/>
        <v>0.20684234476482025</v>
      </c>
      <c r="P22" s="9">
        <f t="shared" si="2"/>
        <v>29006.035335640656</v>
      </c>
      <c r="Q22" s="10">
        <f t="shared" si="3"/>
        <v>54.944444444444443</v>
      </c>
      <c r="R22" s="7">
        <v>16.899999999999999</v>
      </c>
      <c r="S22" s="11" t="e" cm="1">
        <f t="array" aca="1" ref="S22" ca="1">AIV_PWL(N22,O22,P22,Q22,R22)</f>
        <v>#NAME?</v>
      </c>
    </row>
    <row r="23" spans="1:19" ht="19.95" customHeight="1">
      <c r="A23" s="2">
        <v>20</v>
      </c>
      <c r="B23" s="7" t="s">
        <v>134</v>
      </c>
      <c r="C23" s="7" t="s">
        <v>101</v>
      </c>
      <c r="D23" s="13" t="s">
        <v>69</v>
      </c>
      <c r="E23" s="13" t="s">
        <v>122</v>
      </c>
      <c r="F23" s="13" t="s">
        <v>94</v>
      </c>
      <c r="G23" s="13" t="s">
        <v>82</v>
      </c>
      <c r="H23" s="28"/>
      <c r="I23" s="29"/>
      <c r="J23" s="8">
        <v>750</v>
      </c>
      <c r="K23" s="30">
        <v>3</v>
      </c>
      <c r="L23" s="33">
        <v>79007.962446623802</v>
      </c>
      <c r="M23" s="8">
        <v>131</v>
      </c>
      <c r="N23" s="8">
        <f t="shared" si="0"/>
        <v>51.71058619120506</v>
      </c>
      <c r="O23" s="8">
        <f t="shared" si="1"/>
        <v>0.20684234476482025</v>
      </c>
      <c r="P23" s="9">
        <f t="shared" si="2"/>
        <v>35837.451554745858</v>
      </c>
      <c r="Q23" s="10">
        <f t="shared" si="3"/>
        <v>55</v>
      </c>
      <c r="R23" s="7">
        <v>16.899999999999999</v>
      </c>
      <c r="S23" s="11" t="e" cm="1">
        <f t="array" aca="1" ref="S23" ca="1">AIV_PWL(N23,O23,P23,Q23,R23)</f>
        <v>#NAME?</v>
      </c>
    </row>
    <row r="24" spans="1:19" ht="19.95" customHeight="1">
      <c r="A24" s="2">
        <v>21</v>
      </c>
      <c r="B24" s="7" t="s">
        <v>133</v>
      </c>
      <c r="C24" s="7" t="s">
        <v>101</v>
      </c>
      <c r="D24" s="13" t="s">
        <v>76</v>
      </c>
      <c r="E24" s="13" t="s">
        <v>110</v>
      </c>
      <c r="F24" s="13" t="s">
        <v>95</v>
      </c>
      <c r="G24" s="13" t="s">
        <v>85</v>
      </c>
      <c r="H24" s="28"/>
      <c r="I24" s="29"/>
      <c r="J24" s="8">
        <v>1320</v>
      </c>
      <c r="K24" s="30">
        <v>3</v>
      </c>
      <c r="L24" s="33">
        <v>221085.60652569099</v>
      </c>
      <c r="M24" s="8">
        <v>183.1</v>
      </c>
      <c r="N24" s="8">
        <f t="shared" si="0"/>
        <v>91.010631696520917</v>
      </c>
      <c r="O24" s="8">
        <f t="shared" si="1"/>
        <v>0.20684234476482025</v>
      </c>
      <c r="P24" s="9">
        <f t="shared" si="2"/>
        <v>100282.86349833124</v>
      </c>
      <c r="Q24" s="10">
        <f t="shared" si="3"/>
        <v>83.944444444444443</v>
      </c>
      <c r="R24" s="7">
        <v>16.899999999999999</v>
      </c>
      <c r="S24" s="11" t="e" cm="1">
        <f t="array" aca="1" ref="S24" ca="1">AIV_PWL(N24,O24,P24,Q24,R24)</f>
        <v>#NAME?</v>
      </c>
    </row>
    <row r="25" spans="1:19" ht="19.95" customHeight="1">
      <c r="A25" s="2">
        <v>22</v>
      </c>
      <c r="B25" s="7" t="s">
        <v>133</v>
      </c>
      <c r="C25" s="7" t="s">
        <v>101</v>
      </c>
      <c r="D25" s="13" t="s">
        <v>75</v>
      </c>
      <c r="E25" s="13" t="s">
        <v>123</v>
      </c>
      <c r="F25" s="13" t="s">
        <v>96</v>
      </c>
      <c r="G25" s="13" t="s">
        <v>47</v>
      </c>
      <c r="H25" s="28"/>
      <c r="I25" s="29"/>
      <c r="J25" s="8">
        <v>759</v>
      </c>
      <c r="K25" s="30">
        <v>3</v>
      </c>
      <c r="L25" s="33">
        <v>72114.857401778994</v>
      </c>
      <c r="M25" s="8">
        <v>116.1</v>
      </c>
      <c r="N25" s="8">
        <f t="shared" si="0"/>
        <v>52.331113225499521</v>
      </c>
      <c r="O25" s="8">
        <f t="shared" si="1"/>
        <v>0.20684234476482025</v>
      </c>
      <c r="P25" s="9">
        <f t="shared" si="2"/>
        <v>32710.787982409212</v>
      </c>
      <c r="Q25" s="10">
        <f t="shared" si="3"/>
        <v>46.722222222222221</v>
      </c>
      <c r="R25" s="7">
        <v>16.899999999999999</v>
      </c>
      <c r="S25" s="11" t="e" cm="1">
        <f t="array" aca="1" ref="S25" ca="1">AIV_PWL(N25,O25,P25,Q25,R25)</f>
        <v>#NAME?</v>
      </c>
    </row>
    <row r="26" spans="1:19" ht="19.95" customHeight="1">
      <c r="A26" s="2">
        <v>23</v>
      </c>
      <c r="B26" s="7" t="s">
        <v>135</v>
      </c>
      <c r="C26" s="7" t="s">
        <v>101</v>
      </c>
      <c r="D26" s="13" t="s">
        <v>73</v>
      </c>
      <c r="E26" s="13" t="s">
        <v>124</v>
      </c>
      <c r="F26" s="13" t="s">
        <v>97</v>
      </c>
      <c r="G26" s="13" t="s">
        <v>84</v>
      </c>
      <c r="H26" s="32"/>
      <c r="I26" s="32"/>
      <c r="J26" s="8">
        <v>3216.6750000000002</v>
      </c>
      <c r="K26" s="30">
        <v>3</v>
      </c>
      <c r="L26" s="33">
        <v>109471.526082843</v>
      </c>
      <c r="M26" s="8">
        <v>131</v>
      </c>
      <c r="N26" s="8">
        <f t="shared" si="0"/>
        <v>221.78153311545941</v>
      </c>
      <c r="O26" s="8">
        <f t="shared" si="1"/>
        <v>0.20684234476482025</v>
      </c>
      <c r="P26" s="9">
        <f t="shared" si="2"/>
        <v>49655.508016276282</v>
      </c>
      <c r="Q26" s="10">
        <f t="shared" si="3"/>
        <v>55</v>
      </c>
      <c r="R26" s="7">
        <v>16.899999999999999</v>
      </c>
      <c r="S26" s="11" t="e" cm="1">
        <f t="array" aca="1" ref="S26" ca="1">AIV_PWL(N26,O26,P26,Q26,R26)</f>
        <v>#NAME?</v>
      </c>
    </row>
    <row r="27" spans="1:19" ht="19.95" customHeight="1">
      <c r="A27" s="2">
        <v>24</v>
      </c>
      <c r="B27" s="7" t="s">
        <v>134</v>
      </c>
      <c r="C27" s="7" t="s">
        <v>101</v>
      </c>
      <c r="D27" s="13" t="s">
        <v>71</v>
      </c>
      <c r="E27" s="13" t="s">
        <v>125</v>
      </c>
      <c r="F27" s="13" t="s">
        <v>98</v>
      </c>
      <c r="G27" s="13" t="s">
        <v>24</v>
      </c>
      <c r="H27" s="32"/>
      <c r="I27" s="32"/>
      <c r="J27" s="8">
        <v>900</v>
      </c>
      <c r="K27" s="30">
        <v>3</v>
      </c>
      <c r="L27" s="33">
        <v>119571.38339847499</v>
      </c>
      <c r="M27" s="8">
        <v>138</v>
      </c>
      <c r="N27" s="8">
        <f t="shared" si="0"/>
        <v>62.052703429446076</v>
      </c>
      <c r="O27" s="8">
        <f t="shared" si="1"/>
        <v>0.20684234476482025</v>
      </c>
      <c r="P27" s="9">
        <f t="shared" si="2"/>
        <v>54236.731680958626</v>
      </c>
      <c r="Q27" s="10">
        <f t="shared" si="3"/>
        <v>58.888888888888886</v>
      </c>
      <c r="R27" s="7">
        <v>16.899999999999999</v>
      </c>
      <c r="S27" s="11" t="e" cm="1">
        <f t="array" aca="1" ref="S27" ca="1">AIV_PWL(N27,O27,P27,Q27,R27)</f>
        <v>#NAME?</v>
      </c>
    </row>
    <row r="28" spans="1:19" ht="19.95" customHeight="1">
      <c r="A28" s="2">
        <v>25</v>
      </c>
      <c r="B28" s="7" t="s">
        <v>135</v>
      </c>
      <c r="C28" s="7" t="s">
        <v>101</v>
      </c>
      <c r="D28" s="13" t="s">
        <v>74</v>
      </c>
      <c r="E28" s="13" t="s">
        <v>109</v>
      </c>
      <c r="F28" s="13" t="s">
        <v>99</v>
      </c>
      <c r="G28" s="13" t="s">
        <v>48</v>
      </c>
      <c r="H28" s="32"/>
      <c r="I28" s="32"/>
      <c r="J28" s="8">
        <v>2350</v>
      </c>
      <c r="K28" s="30">
        <v>3</v>
      </c>
      <c r="L28" s="33">
        <v>48590.945498139998</v>
      </c>
      <c r="M28" s="8">
        <v>255</v>
      </c>
      <c r="N28" s="8">
        <f t="shared" si="0"/>
        <v>162.0265033991092</v>
      </c>
      <c r="O28" s="8">
        <f t="shared" si="1"/>
        <v>0.20684234476482025</v>
      </c>
      <c r="P28" s="9">
        <f t="shared" si="2"/>
        <v>22040.508340729924</v>
      </c>
      <c r="Q28" s="10">
        <f t="shared" si="3"/>
        <v>123.88888888888889</v>
      </c>
      <c r="R28" s="7">
        <v>16.899999999999999</v>
      </c>
      <c r="S28" s="11" t="e" cm="1">
        <f t="array" aca="1" ref="S28" ca="1">AIV_PWL(N28,O28,P28,Q28,R28)</f>
        <v>#NAME?</v>
      </c>
    </row>
    <row r="29" spans="1:19" ht="19.95" customHeight="1">
      <c r="A29" s="2">
        <v>26</v>
      </c>
      <c r="B29" s="7" t="s">
        <v>133</v>
      </c>
      <c r="C29" s="7" t="s">
        <v>101</v>
      </c>
      <c r="D29" s="13" t="s">
        <v>77</v>
      </c>
      <c r="E29" s="13" t="s">
        <v>126</v>
      </c>
      <c r="F29" s="13" t="s">
        <v>100</v>
      </c>
      <c r="G29" s="13" t="s">
        <v>86</v>
      </c>
      <c r="H29" s="32"/>
      <c r="I29" s="32"/>
      <c r="J29" s="8">
        <v>1251</v>
      </c>
      <c r="K29" s="30">
        <v>3</v>
      </c>
      <c r="L29" s="33">
        <v>126161.233981486</v>
      </c>
      <c r="M29" s="8">
        <v>131</v>
      </c>
      <c r="N29" s="8">
        <f t="shared" si="0"/>
        <v>86.253257766930048</v>
      </c>
      <c r="O29" s="8">
        <f t="shared" si="1"/>
        <v>0.20684234476482025</v>
      </c>
      <c r="P29" s="9">
        <f t="shared" si="2"/>
        <v>57225.841179652736</v>
      </c>
      <c r="Q29" s="10">
        <f t="shared" si="3"/>
        <v>55</v>
      </c>
      <c r="R29" s="7">
        <v>16.899999999999999</v>
      </c>
      <c r="S29" s="11" t="e" cm="1">
        <f t="array" aca="1" ref="S29" ca="1">AIV_PWL(N29,O29,P29,Q29,R29)</f>
        <v>#NAME?</v>
      </c>
    </row>
    <row r="30" spans="1:19" ht="19.95" customHeight="1">
      <c r="A30" s="2">
        <v>27</v>
      </c>
      <c r="B30" s="7" t="s">
        <v>135</v>
      </c>
      <c r="C30" s="7" t="s">
        <v>101</v>
      </c>
      <c r="D30" s="13" t="s">
        <v>72</v>
      </c>
      <c r="E30" s="13" t="s">
        <v>127</v>
      </c>
      <c r="F30" s="13" t="s">
        <v>97</v>
      </c>
      <c r="G30" s="13" t="s">
        <v>84</v>
      </c>
      <c r="H30" s="32"/>
      <c r="I30" s="32"/>
      <c r="J30" s="8">
        <v>3216.6750000000006</v>
      </c>
      <c r="K30" s="30">
        <v>3</v>
      </c>
      <c r="L30" s="33">
        <v>61586.568699676398</v>
      </c>
      <c r="M30" s="8">
        <v>131</v>
      </c>
      <c r="N30" s="8">
        <f t="shared" si="0"/>
        <v>221.78153311545944</v>
      </c>
      <c r="O30" s="8">
        <f t="shared" si="1"/>
        <v>0.20684234476482025</v>
      </c>
      <c r="P30" s="9">
        <f t="shared" si="2"/>
        <v>27935.230878644121</v>
      </c>
      <c r="Q30" s="10">
        <f t="shared" si="3"/>
        <v>55</v>
      </c>
      <c r="R30" s="7">
        <v>16.899999999999999</v>
      </c>
      <c r="S30" s="11" t="e" cm="1">
        <f t="array" aca="1" ref="S30" ca="1">AIV_PWL(N30,O30,P30,Q30,R30)</f>
        <v>#NAME?</v>
      </c>
    </row>
    <row r="31" spans="1:19">
      <c r="A31" s="2">
        <v>28</v>
      </c>
      <c r="B31" s="7" t="s">
        <v>133</v>
      </c>
      <c r="C31" s="7" t="s">
        <v>101</v>
      </c>
      <c r="D31" s="13" t="s">
        <v>143</v>
      </c>
      <c r="E31" s="13" t="s">
        <v>144</v>
      </c>
      <c r="F31" s="13" t="s">
        <v>145</v>
      </c>
      <c r="G31" s="13" t="s">
        <v>28</v>
      </c>
      <c r="H31" s="32"/>
      <c r="I31" s="32"/>
      <c r="J31" s="8">
        <v>797</v>
      </c>
      <c r="K31" s="30">
        <v>3</v>
      </c>
      <c r="L31" s="33">
        <v>134578</v>
      </c>
      <c r="M31" s="8">
        <v>14</v>
      </c>
      <c r="N31" s="8">
        <f t="shared" si="0"/>
        <v>54.951116259187245</v>
      </c>
      <c r="O31" s="8">
        <f t="shared" si="1"/>
        <v>0.20684234476482025</v>
      </c>
      <c r="P31" s="9">
        <f t="shared" si="2"/>
        <v>61043.626566029525</v>
      </c>
      <c r="Q31" s="10">
        <f t="shared" si="3"/>
        <v>-10</v>
      </c>
      <c r="R31" s="7">
        <v>16.899999999999999</v>
      </c>
      <c r="S31" s="11" t="e" cm="1">
        <f t="array" aca="1" ref="S31" ca="1">AIV_PWL(N31,O31,P31,Q31,R31)</f>
        <v>#NAME?</v>
      </c>
    </row>
    <row r="33" spans="1:2">
      <c r="A33" s="21" t="s">
        <v>138</v>
      </c>
    </row>
    <row r="34" spans="1:2">
      <c r="A34" s="1">
        <v>1</v>
      </c>
      <c r="B34" s="21" t="s">
        <v>63</v>
      </c>
    </row>
    <row r="35" spans="1:2">
      <c r="A35" s="1">
        <v>2</v>
      </c>
      <c r="B35" s="21" t="s">
        <v>142</v>
      </c>
    </row>
    <row r="36" spans="1:2">
      <c r="A36" s="1">
        <v>3</v>
      </c>
      <c r="B36" s="21" t="s">
        <v>146</v>
      </c>
    </row>
    <row r="37" spans="1:2">
      <c r="A37" s="1">
        <v>4</v>
      </c>
      <c r="B37" s="21" t="s">
        <v>90</v>
      </c>
    </row>
    <row r="38" spans="1:2">
      <c r="A38" s="1">
        <v>5</v>
      </c>
      <c r="B38" s="21" t="s">
        <v>132</v>
      </c>
    </row>
    <row r="55" spans="8:9" ht="20.399999999999999">
      <c r="H55" s="22" t="s">
        <v>42</v>
      </c>
      <c r="I55" s="22">
        <v>716006</v>
      </c>
    </row>
    <row r="56" spans="8:9" ht="20.399999999999999">
      <c r="H56" s="22" t="s">
        <v>14</v>
      </c>
      <c r="I56" s="22">
        <v>261603</v>
      </c>
    </row>
    <row r="57" spans="8:9" ht="20.399999999999999">
      <c r="H57" s="22" t="s">
        <v>15</v>
      </c>
      <c r="I57" s="22">
        <v>8909</v>
      </c>
    </row>
    <row r="58" spans="8:9" ht="20.399999999999999">
      <c r="H58" s="22" t="s">
        <v>43</v>
      </c>
      <c r="I58" s="22">
        <v>808728.9899292757</v>
      </c>
    </row>
    <row r="59" spans="8:9" ht="20.399999999999999">
      <c r="H59" s="22" t="s">
        <v>16</v>
      </c>
      <c r="I59" s="22">
        <v>9731</v>
      </c>
    </row>
    <row r="60" spans="8:9" ht="20.399999999999999">
      <c r="H60" s="22" t="s">
        <v>17</v>
      </c>
      <c r="I60" s="22">
        <v>5359</v>
      </c>
    </row>
    <row r="61" spans="8:9" ht="20.399999999999999">
      <c r="H61" s="22" t="s">
        <v>18</v>
      </c>
      <c r="I61" s="22">
        <v>488738.77846170129</v>
      </c>
    </row>
    <row r="62" spans="8:9" ht="20.399999999999999">
      <c r="H62" s="22" t="s">
        <v>44</v>
      </c>
      <c r="I62" s="22">
        <v>1341906.3828286214</v>
      </c>
    </row>
    <row r="63" spans="8:9" ht="20.399999999999999">
      <c r="H63" s="22" t="s">
        <v>19</v>
      </c>
      <c r="I63" s="22">
        <v>47510</v>
      </c>
    </row>
    <row r="64" spans="8:9" ht="20.399999999999999">
      <c r="H64" s="22" t="s">
        <v>45</v>
      </c>
      <c r="I64" s="22">
        <v>3555618.2648723964</v>
      </c>
    </row>
    <row r="65" spans="8:9" ht="20.399999999999999">
      <c r="H65" s="22" t="s">
        <v>46</v>
      </c>
      <c r="I65" s="22">
        <v>41279.387643521048</v>
      </c>
    </row>
    <row r="66" spans="8:9" ht="20.399999999999999">
      <c r="H66" s="22" t="s">
        <v>20</v>
      </c>
      <c r="I66" s="22">
        <v>17282.050829820633</v>
      </c>
    </row>
    <row r="67" spans="8:9" ht="40.799999999999997">
      <c r="H67" s="22" t="s">
        <v>130</v>
      </c>
      <c r="I67" s="23">
        <v>40047.002592638317</v>
      </c>
    </row>
    <row r="68" spans="8:9" ht="20.399999999999999">
      <c r="H68" s="24" t="s">
        <v>141</v>
      </c>
      <c r="I68" s="24"/>
    </row>
  </sheetData>
  <autoFilter ref="A2:S30" xr:uid="{4E984EDF-B6B2-4C58-96EC-C479804B00ED}"/>
  <conditionalFormatting sqref="S3:S31">
    <cfRule type="cellIs" dxfId="0" priority="1" operator="greaterThan">
      <formula>154.99</formula>
    </cfRule>
  </conditionalFormatting>
  <pageMargins left="0.25" right="0.25" top="0.75" bottom="0.75" header="0.3" footer="0.3"/>
  <pageSetup paperSize="8" scale="91" fitToHeight="0" orientation="landscape" r:id="rId1"/>
  <headerFooter>
    <oddHeader>&amp;C&amp;F&amp;RSheet &amp;P of &amp;N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6AA9D-611D-4BF2-B139-77C184FF87C2}">
  <sheetPr codeName="Sheet2"/>
  <dimension ref="A2:D34"/>
  <sheetViews>
    <sheetView tabSelected="1" topLeftCell="E1" workbookViewId="0">
      <selection activeCell="J8" sqref="J8"/>
    </sheetView>
  </sheetViews>
  <sheetFormatPr defaultRowHeight="14.4"/>
  <cols>
    <col min="1" max="1" width="28.33203125" bestFit="1" customWidth="1"/>
    <col min="2" max="2" width="11.21875" customWidth="1"/>
    <col min="3" max="3" width="12.44140625" customWidth="1"/>
  </cols>
  <sheetData>
    <row r="2" spans="1:4">
      <c r="A2" t="s">
        <v>147</v>
      </c>
      <c r="B2" t="s">
        <v>148</v>
      </c>
      <c r="C2" t="s">
        <v>5</v>
      </c>
      <c r="D2" t="s">
        <v>149</v>
      </c>
    </row>
    <row r="3" spans="1:4">
      <c r="A3" t="s">
        <v>163</v>
      </c>
      <c r="B3" t="s">
        <v>150</v>
      </c>
      <c r="C3" t="s">
        <v>151</v>
      </c>
    </row>
    <row r="4" spans="1:4">
      <c r="A4" t="s">
        <v>180</v>
      </c>
      <c r="B4" t="s">
        <v>172</v>
      </c>
      <c r="C4" t="s">
        <v>158</v>
      </c>
    </row>
    <row r="5" spans="1:4">
      <c r="A5" t="s">
        <v>164</v>
      </c>
      <c r="B5" t="s">
        <v>165</v>
      </c>
      <c r="C5" t="s">
        <v>166</v>
      </c>
    </row>
    <row r="6" spans="1:4">
      <c r="A6" t="s">
        <v>181</v>
      </c>
      <c r="B6" t="s">
        <v>154</v>
      </c>
      <c r="C6" t="s">
        <v>153</v>
      </c>
    </row>
    <row r="7" spans="1:4">
      <c r="A7" t="s">
        <v>182</v>
      </c>
      <c r="B7" t="s">
        <v>152</v>
      </c>
      <c r="C7" t="s">
        <v>153</v>
      </c>
    </row>
    <row r="8" spans="1:4">
      <c r="A8" t="s">
        <v>183</v>
      </c>
      <c r="B8" t="s">
        <v>159</v>
      </c>
      <c r="C8" t="s">
        <v>184</v>
      </c>
    </row>
    <row r="9" spans="1:4">
      <c r="A9" t="s">
        <v>185</v>
      </c>
      <c r="B9" t="s">
        <v>173</v>
      </c>
      <c r="C9" t="s">
        <v>184</v>
      </c>
    </row>
    <row r="10" spans="1:4">
      <c r="A10" t="s">
        <v>186</v>
      </c>
      <c r="B10" t="s">
        <v>161</v>
      </c>
      <c r="C10" t="s">
        <v>162</v>
      </c>
    </row>
    <row r="11" spans="1:4">
      <c r="A11" t="s">
        <v>187</v>
      </c>
      <c r="B11" t="s">
        <v>188</v>
      </c>
      <c r="C11" t="s">
        <v>189</v>
      </c>
    </row>
    <row r="12" spans="1:4">
      <c r="A12" t="s">
        <v>190</v>
      </c>
      <c r="B12" t="s">
        <v>167</v>
      </c>
      <c r="C12" t="s">
        <v>160</v>
      </c>
    </row>
    <row r="13" spans="1:4">
      <c r="A13" t="s">
        <v>191</v>
      </c>
      <c r="B13" t="s">
        <v>192</v>
      </c>
      <c r="C13" t="s">
        <v>160</v>
      </c>
    </row>
    <row r="14" spans="1:4">
      <c r="A14" t="s">
        <v>193</v>
      </c>
      <c r="B14" t="s">
        <v>168</v>
      </c>
      <c r="C14" t="s">
        <v>160</v>
      </c>
    </row>
    <row r="15" spans="1:4">
      <c r="A15" t="s">
        <v>194</v>
      </c>
      <c r="B15" t="s">
        <v>175</v>
      </c>
      <c r="C15" t="s">
        <v>160</v>
      </c>
    </row>
    <row r="16" spans="1:4">
      <c r="A16" t="s">
        <v>195</v>
      </c>
      <c r="B16" t="s">
        <v>196</v>
      </c>
      <c r="C16" t="s">
        <v>197</v>
      </c>
    </row>
    <row r="17" spans="1:3">
      <c r="A17" t="s">
        <v>198</v>
      </c>
      <c r="B17" t="s">
        <v>155</v>
      </c>
      <c r="C17" t="s">
        <v>153</v>
      </c>
    </row>
    <row r="18" spans="1:3">
      <c r="A18" t="s">
        <v>199</v>
      </c>
      <c r="B18" t="s">
        <v>174</v>
      </c>
      <c r="C18" t="s">
        <v>200</v>
      </c>
    </row>
    <row r="19" spans="1:3">
      <c r="A19" t="s">
        <v>10</v>
      </c>
      <c r="B19" t="s">
        <v>201</v>
      </c>
      <c r="C19" t="s">
        <v>173</v>
      </c>
    </row>
    <row r="20" spans="1:3">
      <c r="A20" t="s">
        <v>202</v>
      </c>
      <c r="B20" t="s">
        <v>169</v>
      </c>
      <c r="C20" t="s">
        <v>166</v>
      </c>
    </row>
    <row r="21" spans="1:3">
      <c r="A21" t="s">
        <v>203</v>
      </c>
      <c r="B21" t="s">
        <v>170</v>
      </c>
      <c r="C21" t="s">
        <v>171</v>
      </c>
    </row>
    <row r="22" spans="1:3">
      <c r="A22" t="s">
        <v>204</v>
      </c>
      <c r="B22" t="s">
        <v>158</v>
      </c>
      <c r="C22" t="s">
        <v>158</v>
      </c>
    </row>
    <row r="23" spans="1:3">
      <c r="A23" t="s">
        <v>205</v>
      </c>
      <c r="B23" t="s">
        <v>207</v>
      </c>
      <c r="C23" t="s">
        <v>153</v>
      </c>
    </row>
    <row r="24" spans="1:3">
      <c r="A24" t="s">
        <v>206</v>
      </c>
      <c r="B24" t="s">
        <v>158</v>
      </c>
      <c r="C24" t="s">
        <v>158</v>
      </c>
    </row>
    <row r="26" spans="1:3">
      <c r="A26" t="s">
        <v>208</v>
      </c>
    </row>
    <row r="28" spans="1:3">
      <c r="A28" t="s">
        <v>156</v>
      </c>
      <c r="B28" t="s">
        <v>157</v>
      </c>
      <c r="C28" t="s">
        <v>158</v>
      </c>
    </row>
    <row r="29" spans="1:3">
      <c r="A29" t="s">
        <v>178</v>
      </c>
      <c r="B29" t="s">
        <v>179</v>
      </c>
      <c r="C29" t="s">
        <v>158</v>
      </c>
    </row>
    <row r="30" spans="1:3">
      <c r="A30" t="s">
        <v>176</v>
      </c>
      <c r="B30" t="s">
        <v>177</v>
      </c>
      <c r="C30" t="s">
        <v>158</v>
      </c>
    </row>
    <row r="31" spans="1:3">
      <c r="A31" t="s">
        <v>209</v>
      </c>
      <c r="B31" t="s">
        <v>210</v>
      </c>
      <c r="C31" t="s">
        <v>211</v>
      </c>
    </row>
    <row r="32" spans="1:3">
      <c r="A32" t="s">
        <v>212</v>
      </c>
      <c r="B32" t="s">
        <v>213</v>
      </c>
      <c r="C32" t="s">
        <v>160</v>
      </c>
    </row>
    <row r="33" spans="1:3">
      <c r="A33" t="s">
        <v>214</v>
      </c>
      <c r="B33" t="s">
        <v>215</v>
      </c>
      <c r="C33" t="s">
        <v>211</v>
      </c>
    </row>
    <row r="34" spans="1:3">
      <c r="A34" t="s">
        <v>216</v>
      </c>
      <c r="B34" t="s">
        <v>217</v>
      </c>
      <c r="C34" t="s">
        <v>158</v>
      </c>
    </row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b29603fb-7fab-4bf6-8ed3-004985bb9d91}" enabled="1" method="Standard" siteId="{9179d01a-e94c-4488-b5f0-4554bc474f8c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AIV</vt:lpstr>
      <vt:lpstr>FIV T2.8</vt:lpstr>
      <vt:lpstr>AIV!_FilterDatabase</vt:lpstr>
      <vt:lpstr>AIV!Print_Area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Prasanna Palanivel</dc:creator>
  <cp:lastModifiedBy>Prasanna Palanivel</cp:lastModifiedBy>
  <cp:lastPrinted>2025-05-02T13:51:13Z</cp:lastPrinted>
  <dcterms:created xsi:type="dcterms:W3CDTF">2015-06-05T18:17:20Z</dcterms:created>
  <dcterms:modified xsi:type="dcterms:W3CDTF">2025-09-30T10:56:50Z</dcterms:modified>
</cp:coreProperties>
</file>