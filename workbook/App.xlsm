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3672" documentId="13_ncr:1_{7D687D13-76F6-45A1-B586-7661552B5AA3}" xr6:coauthVersionLast="47" xr6:coauthVersionMax="47" xr10:uidLastSave="{542D3C77-09A5-497E-8937-A33ADD591F22}"/>
  <bookViews>
    <workbookView xWindow="-108" yWindow="-108" windowWidth="23256" windowHeight="12456" activeTab="1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f" sheetId="9" r:id="rId5"/>
    <sheet name="Results" sheetId="7" r:id="rId6"/>
  </sheets>
  <functionGroups builtInGroupCount="19"/>
  <definedNames>
    <definedName name="_xlnm._FilterDatabase" localSheetId="0">AIV!$A$2:$S$30</definedName>
    <definedName name="_Order1" hidden="1">0</definedName>
    <definedName name="_xleta.HSTACK" hidden="1" xlm="1">#NAME?</definedName>
    <definedName name="_xleta.T" hidden="1" xlm="1">#NAME?</definedName>
    <definedName name="CaseList">lsCase[Case]</definedName>
    <definedName name="SupportList">lsSupportType[Support Type]</definedName>
    <definedName name="ValveList">lsValveType[Valve 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5" l="1" a="1"/>
  <c r="G11" i="5" s="1"/>
  <c r="F11" i="5" a="1"/>
  <c r="F11" i="5" s="1"/>
  <c r="E11" i="5" a="1"/>
  <c r="E11" i="5" s="1"/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<sst xmlns="http://schemas.openxmlformats.org/spreadsheetml/2006/main" count="431" uniqueCount="254">
  <si>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</si>
  <si>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</si>
  <si>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</si>
  <si>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</si>
  <si>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</si>
  <si>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</si>
  <si>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</si>
  <si>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</si>
  <si>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</si>
  <si>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</si>
  <si>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</si>
  <si>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</si>
  <si>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</si>
  <si>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</si>
  <si>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</si>
  <si>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</si>
  <si>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</si>
  <si>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</si>
  <si>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</si>
  <si>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</si>
  <si>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</si>
  <si>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</si>
  <si>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</si>
  <si>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</si>
  <si>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</si>
  <si>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</si>
  <si>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</si>
  <si>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</si>
  <si>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</si>
  <si>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</si>
  <si>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</si>
  <si>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</si>
  <si>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</si>
  <si>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</si>
  <si>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</si>
  <si>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</si>
  <si>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</si>
  <si>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</si>
  <si>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</si>
  <si>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</si>
  <si>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</si>
  <si>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</si>
  <si>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</si>
  <si>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</si>
  <si>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</si>
  <si>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</si>
  <si>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</si>
  <si>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</si>
  <si>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</si>
  <si>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</si>
  <si>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</si>
  <si>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</si>
  <si>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</si>
  <si>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</si>
  <si>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</si>
  <si>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</si>
  <si>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</si>
  <si>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</si>
  <si>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</si>
  <si>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</si>
  <si>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</si>
  <si>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</si>
  <si>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</si>
  <si>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</si>
  <si>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</si>
  <si>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</si>
  <si>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</si>
  <si>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</si>
  <si>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</si>
  <si>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</si>
  <si>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</si>
  <si>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</si>
  <si>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</si>
  <si>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</si>
  <si>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</si>
  <si>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</si>
  <si>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</si>
  <si>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</si>
  <si>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</si>
  <si>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</si>
  <si>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</si>
  <si>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</si>
  <si>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</si>
  <si>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</si>
  <si>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</si>
  <si>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</si>
  <si>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</si>
  <si>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</si>
  <si>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</si>
  <si>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</si>
  <si>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</si>
  <si>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</si>
  <si>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</si>
  <si>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</si>
  <si>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</si>
  <si>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</si>
  <si>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</si>
  <si>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</si>
  <si>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</si>
  <si>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</si>
  <si>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</si>
  <si>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</si>
  <si>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</si>
  <si>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</si>
  <si>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</si>
  <si>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</si>
  <si>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</si>
  <si>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</si>
  <si>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</si>
  <si>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</si>
  <si>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</si>
  <si>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</si>
  <si>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</si>
  <si>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</si>
  <si>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</si>
  <si>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</si>
  <si>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</si>
  <si>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</si>
  <si>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</si>
  <si>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</si>
  <si>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</si>
  <si>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</si>
  <si>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</si>
  <si>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</si>
  <si>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</si>
  <si>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</si>
  <si>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</si>
  <si>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</si>
  <si>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</si>
  <si>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</si>
  <si>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</si>
  <si>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</si>
  <si>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</si>
  <si>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</si>
  <si>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</si>
  <si>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</si>
  <si>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</si>
  <si>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</si>
  <si>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</si>
  <si>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</si>
  <si>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</si>
  <si>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</si>
  <si>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</si>
  <si>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</si>
  <si>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</si>
  <si>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</si>
  <si>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</si>
  <si>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</si>
  <si>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</si>
  <si>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</si>
  <si>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</si>
  <si>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</si>
  <si>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</si>
  <si>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</si>
  <si>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</si>
  <si>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</si>
  <si>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</si>
  <si>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</si>
  <si>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</si>
  <si>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</si>
  <si>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</si>
  <si>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</si>
  <si>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</si>
  <si>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</si>
  <si>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</si>
  <si>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</si>
  <si>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</si>
  <si>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</si>
  <si>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</si>
  <si>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</si>
  <si>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</si>
  <si>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</si>
  <si>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External Main Line Diameter</t>
  </si>
  <si>
    <t>Internal Main Line Diameter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</si>
  <si>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</si>
  <si>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</si>
  <si>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</si>
  <si>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</si>
  <si>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</si>
  <si>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</si>
  <si>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</si>
  <si>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</si>
  <si>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</si>
  <si>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</si>
  <si>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</si>
  <si>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</si>
  <si>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</si>
  <si>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</si>
  <si>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</si>
  <si>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</si>
  <si>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</si>
  <si>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</si>
  <si>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Valve Type</t>
  </si>
  <si>
    <t>Tsch40</t>
  </si>
  <si>
    <t>Lists (do not edit structure)</t>
  </si>
  <si>
    <t>Ball-Full</t>
  </si>
  <si>
    <t>Ball-Reduced</t>
  </si>
  <si>
    <t>Butterfly</t>
  </si>
  <si>
    <t>Globe</t>
  </si>
  <si>
    <t>Gate</t>
  </si>
  <si>
    <t>Inputs – One column per Valve (use button to generate from ValveList)</t>
  </si>
  <si>
    <t>XV-103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</si>
  <si>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</si>
  <si>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</si>
  <si>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</si>
  <si>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</si>
  <si>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</si>
  <si>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</si>
  <si>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</si>
  <si>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</si>
  <si>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</si>
  <si>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</si>
  <si>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</si>
  <si>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</si>
  <si>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</si>
  <si>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</si>
  <si>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</si>
  <si>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</si>
  <si>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</si>
  <si>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</si>
  <si>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</si>
  <si>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</si>
  <si>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</si>
  <si>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</si>
  <si>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</si>
  <si>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</si>
  <si>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Fmax (kN)</t>
  </si>
  <si>
    <t>Flim (kN)</t>
  </si>
  <si>
    <t>LOF (-)</t>
  </si>
  <si>
    <t>Flag</t>
  </si>
  <si>
    <t>Valve List → Add tags below; choose case type; click 'Generate Inputs'</t>
  </si>
  <si>
    <t>Units</t>
  </si>
  <si>
    <t>Valve Closure</t>
  </si>
  <si>
    <t>Valve Opening (Liquid/Multiphase)</t>
  </si>
  <si>
    <t>Valve Opening (Dry Gas)</t>
  </si>
  <si>
    <t>kg/m³</t>
  </si>
  <si>
    <t>Ratio of Specific Heat Capacities (Cp/Cv)</t>
  </si>
  <si>
    <t>–</t>
  </si>
  <si>
    <t>Young’s Modulus of main line material</t>
  </si>
  <si>
    <t>Eml</t>
  </si>
  <si>
    <t>N/m²</t>
  </si>
  <si>
    <t>∆P</t>
  </si>
  <si>
    <t>J/K·kmol</t>
  </si>
  <si>
    <t>kg/s</t>
  </si>
  <si>
    <t>Main line Wall Thickness for SCH 40</t>
  </si>
  <si>
    <t>Case</t>
  </si>
  <si>
    <t>Stiff</t>
  </si>
  <si>
    <t>Medium Stiff</t>
  </si>
  <si>
    <t>Medium</t>
  </si>
  <si>
    <t>Flexible</t>
  </si>
  <si>
    <t>Theta</t>
  </si>
  <si>
    <t>XV-102</t>
  </si>
  <si>
    <t>XV-1022</t>
  </si>
  <si>
    <t>XV-1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</si>
</sst>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6" borderId="2" xfId="0" applyFont="1" applyFill="1" applyBorder="1" applyAlignment="1">
      <alignment horizontal="center" vertical="center"/>
    </xf>
    <xf numFmtId="0" fontId="0" fillId="0" borderId="2" xfId="0" applyBorder="1"/>
    <xf numFmtId="0" fontId="10" fillId="6" borderId="7" xfId="0" applyFont="1" applyFill="1" applyBorder="1" applyAlignment="1">
      <alignment horizontal="center" vertical="center"/>
    </xf>
    <xf numFmtId="0" fontId="14" fillId="8" borderId="0" xfId="0" applyFont="1" applyFill="1" applyProtection="1">
      <protection locked="0"/>
    </xf>
    <xf numFmtId="0" fontId="15" fillId="9" borderId="0" xfId="0" applyFont="1" applyFill="1"/>
    <xf numFmtId="0" fontId="13" fillId="6" borderId="8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0" xfId="0" applyAlignment="1">
      <alignment wrapText="1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22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1F4E78"/>
          <bgColor rgb="FF1F4E7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6" totalsRowShown="0" headerRowDxfId="20" dataDxfId="19">
  <autoFilter ref="A2:B6" xr:uid="{F0CA3F79-35F2-426A-B65F-FCD259D0141D}"/>
  <tableColumns count="2">
    <tableColumn id="1" xr3:uid="{EBACE0A1-2E38-4F31-8D36-6C90318FF37A}" name="Valve Tag" dataDxfId="18"/>
    <tableColumn id="2" xr3:uid="{29B1F62B-E2FB-4863-B430-A854DC4730D3}" name="CaseType" dataDxfId="1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701A2F-F1B7-4C7A-8E83-D86487745246}" name="lsCase" displayName="lsCase" ref="A3:A6" totalsRowShown="0">
  <autoFilter ref="A3:A6" xr:uid="{6D701A2F-F1B7-4C7A-8E83-D86487745246}"/>
  <tableColumns count="1">
    <tableColumn id="1" xr3:uid="{0C0CA7CD-8B7F-4B71-B763-984D931E3721}" name="Cas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A372E-13CA-48B0-85D6-42FE4AFFFF64}" name="lsSupportType" displayName="lsSupportType" ref="A17:B21" totalsRowShown="0">
  <autoFilter ref="A17:B21" xr:uid="{8D1A372E-13CA-48B0-85D6-42FE4AFFFF64}"/>
  <tableColumns count="2">
    <tableColumn id="1" xr3:uid="{159A43C3-28FC-4F8B-A2DF-FF6D73F43326}" name="Support Type"/>
    <tableColumn id="2" xr3:uid="{B8854FFD-5F2E-48B1-A24F-71A4684926F0}" name="The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FB08B-38A4-4A7D-B7AB-5B02AA97B5FF}" name="lsValveType" displayName="lsValveType" ref="A9:A14" totalsRowShown="0">
  <autoFilter ref="A9:A14" xr:uid="{13FFB08B-38A4-4A7D-B7AB-5B02AA97B5FF}"/>
  <tableColumns count="1">
    <tableColumn id="1" xr3:uid="{7DB38966-22B1-4B93-AF49-83EE9955891D}" name="Valve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A385B4-C58A-4B71-A2A8-2F127D2E661F}" name="tbInput" displayName="tbInput" ref="A2:H25" totalsRowShown="0" headerRowDxfId="16" tableBorderDxfId="15">
  <autoFilter ref="A2:H25" xr:uid="{43A385B4-C58A-4B71-A2A8-2F127D2E661F}"/>
  <tableColumns count="8">
    <tableColumn id="1" xr3:uid="{71741A9F-B2B6-4F4E-8DAF-8F018F7B78E6}" name="Parameter" dataDxfId="14"/>
    <tableColumn id="2" xr3:uid="{03078D02-70DA-4CE0-8E16-E54863050F63}" name="Symbol" dataDxfId="13"/>
    <tableColumn id="3" xr3:uid="{04CCABB4-4847-4132-9761-5E3178CAD27A}" name="Unit" dataDxfId="12"/>
    <tableColumn id="4" xr3:uid="{7EC8FA8A-C11D-45F3-A46B-3C02D3D7EE32}" name="Notes" dataDxfId="11"/>
    <tableColumn id="5" xr3:uid="{46B14898-DC1B-4AA0-8AEC-13F6E4D4696F}" name="XV-103"/>
    <tableColumn id="6" xr3:uid="{B93FABB8-1E67-48F0-97F0-2EB0F0FB950C}" name="XV-102"/>
    <tableColumn id="7" xr3:uid="{F5194DC9-4E17-4849-AC1B-A29FF4B6AA76}" name="XV-1022"/>
    <tableColumn id="8" xr3:uid="{29F0DCF4-0017-4F02-A5CD-9230EBE384B6}" name="XV-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E0A521-F2D0-49DC-83AF-DBA2E3B80098}" name="tbRequiredInput" displayName="tbRequiredInput" ref="A2:F24" totalsRowShown="0" headerRowDxfId="10" dataDxfId="9">
  <autoFilter ref="A2:F24" xr:uid="{41E0A521-F2D0-49DC-83AF-DBA2E3B80098}"/>
  <tableColumns count="6">
    <tableColumn id="1" xr3:uid="{36FBB3AA-B1CC-41EF-8B09-C0D6E4A3C716}" name="Parameter" dataDxfId="8"/>
    <tableColumn id="2" xr3:uid="{C44FE781-62C7-4AD7-AD63-C688E7680119}" name="Symbol" dataDxfId="7"/>
    <tableColumn id="3" xr3:uid="{3FE5D9EB-5B06-477D-8708-737D098CA07B}" name="Units" dataDxfId="6"/>
    <tableColumn id="4" xr3:uid="{2122D129-8BD7-4857-B458-AC7EDFAEE73D}" name="Valve Closure" dataDxfId="5"/>
    <tableColumn id="5" xr3:uid="{DF50D4F0-2ABB-4AE1-B44F-C3CAB9E40218}" name="Valve Opening (Liquid/Multiphase)" dataDxfId="4"/>
    <tableColumn id="6" xr3:uid="{F6D681C9-B50F-43DA-97BE-4576727B0D20}" name="Valve Opening (Dry Gas)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58E3A-B8EA-4F6F-999D-C3CFEC8F6285}" name="tbResult" displayName="tbResult" ref="A2:H3" totalsRowShown="0" headerRowDxfId="2" headerRowBorderDxfId="1" tableBorderDxfId="0">
  <autoFilter ref="A2:H3" xr:uid="{29358E3A-B8EA-4F6F-999D-C3CFEC8F6285}"/>
  <tableColumns count="8">
    <tableColumn id="1" xr3:uid="{C71EE825-37A0-403B-834F-14C0D2757952}" name="Valve Tag"/>
    <tableColumn id="2" xr3:uid="{EFC1C74F-9B47-4316-B2DC-D123E8A7D512}" name="CaseType"/>
    <tableColumn id="3" xr3:uid="{F56950E5-DEE9-447A-8738-A169ED2FF8CA}" name="Valve Type"/>
    <tableColumn id="4" xr3:uid="{8EF7AECD-AF26-4AEF-9492-F408B1094958}" name="Support Type"/>
    <tableColumn id="6" xr3:uid="{0FA4DC3B-7F2C-4C58-BE48-9B2233A6E9EB}" name="Fmax (kN)"/>
    <tableColumn id="7" xr3:uid="{144F2548-F00D-43D9-92F4-B614D1DECB0E}" name="Flim (kN)"/>
    <tableColumn id="8" xr3:uid="{CF100945-5C94-433D-BE92-C75264E8488D}" name="LOF (-)"/>
    <tableColumn id="9" xr3:uid="{91D74A20-1D19-4803-AF05-50E5889C9331}" name="Fl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21" priority="1" operator="greaterThan">
      <formula>154.99</formula>
    </cfRule>
  </conditionalFormatting>
  <pageMargins left="0.25" right="0.25" top="0.75" bottom="0.75" header="0.3" footer="0.3"/>
  <pageSetup paperSize="8" scale="57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6"/>
  <sheetViews>
    <sheetView tabSelected="1" workbookViewId="0">
      <selection activeCell="C11" sqref="C11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51" t="s">
        <v>230</v>
      </c>
      <c r="B1" s="51"/>
    </row>
    <row r="2" spans="1:2">
      <c r="A2" s="37" t="s">
        <v>223</v>
      </c>
      <c r="B2" s="37" t="s">
        <v>224</v>
      </c>
    </row>
    <row r="3" spans="1:2">
      <c r="A3" t="s">
        <v>201</v>
      </c>
      <c r="B3" t="s">
        <v>232</v>
      </c>
    </row>
    <row r="4" spans="1:2">
      <c r="A4" t="s">
        <v>251</v>
      </c>
      <c r="B4" t="s">
        <v>233</v>
      </c>
    </row>
    <row r="5" spans="1:2">
      <c r="A5" t="s">
        <v>251</v>
      </c>
      <c r="B5" t="s">
        <v>234</v>
      </c>
    </row>
    <row r="6" spans="1:2">
      <c r="A6" t="s">
        <v>253</v>
      </c>
      <c r="B6" t="s">
        <v>233</v>
      </c>
    </row>
  </sheetData>
  <mergeCells count="1">
    <mergeCell ref="A1:B1"/>
  </mergeCells>
  <dataValidations count="1">
    <dataValidation type="list" allowBlank="1" showInputMessage="1" showErrorMessage="1" errorTitle="Invalid Entry" error="Please select a value from the dropdown list." promptTitle="Select CaseType" prompt="Please select a value from the dropdown list." sqref="B3:B6" xr:uid="{779E1997-EE7A-4E09-9084-9C608A5973F2}">
      <formula1>CaseList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G21"/>
  <sheetViews>
    <sheetView workbookViewId="0">
      <selection activeCell="J13" sqref="J13"/>
    </sheetView>
  </sheetViews>
  <sheetFormatPr defaultRowHeight="14.4"/>
  <cols>
    <col min="1" max="1" width="29.109375" bestFit="1" customWidth="1"/>
    <col min="2" max="2" width="12.88671875" bestFit="1" customWidth="1"/>
    <col min="3" max="3" width="12.44140625" bestFit="1" customWidth="1"/>
    <col min="5" max="5" width="29.109375" bestFit="1" customWidth="1"/>
    <col min="7" max="7" width="12.44140625" bestFit="1" customWidth="1"/>
  </cols>
  <sheetData>
    <row r="1" spans="1:7">
      <c r="A1" s="52" t="s">
        <v>194</v>
      </c>
      <c r="B1" s="53"/>
      <c r="C1" s="53"/>
    </row>
    <row r="3" spans="1:7">
      <c r="A3" t="s">
        <v>245</v>
      </c>
    </row>
    <row r="4" spans="1:7">
      <c r="A4" t="s">
        <v>232</v>
      </c>
    </row>
    <row r="5" spans="1:7">
      <c r="A5" t="s">
        <v>233</v>
      </c>
    </row>
    <row r="6" spans="1:7">
      <c r="A6" t="s">
        <v>234</v>
      </c>
    </row>
    <row r="9" spans="1:7">
      <c r="A9" t="s">
        <v>192</v>
      </c>
    </row>
    <row r="10" spans="1:7">
      <c r="A10" t="s">
        <v>195</v>
      </c>
    </row>
    <row r="11" spans="1:7">
      <c r="A11" t="s">
        <v>196</v>
      </c>
      <c r="E11" t="str" cm="1">
        <f t="array" ref="E11:E13">CaseList</f>
        <v>Valve Closure</v>
      </c>
      <c r="F11" t="str" cm="1">
        <f t="array" ref="F11:F14">SupportList</f>
        <v>Stiff</v>
      </c>
      <c r="G11" t="str" cm="1">
        <f t="array" ref="G11:G15">ValveList</f>
        <v>Ball-Full</v>
      </c>
    </row>
    <row r="12" spans="1:7">
      <c r="A12" t="s">
        <v>197</v>
      </c>
      <c r="E12" t="str">
        <v>Valve Opening (Liquid/Multiphase)</v>
      </c>
      <c r="F12" t="str">
        <v>Medium Stiff</v>
      </c>
      <c r="G12" t="str">
        <v>Ball-Reduced</v>
      </c>
    </row>
    <row r="13" spans="1:7">
      <c r="A13" t="s">
        <v>198</v>
      </c>
      <c r="E13" t="str">
        <v>Valve Opening (Dry Gas)</v>
      </c>
      <c r="F13" t="str">
        <v>Medium</v>
      </c>
      <c r="G13" t="str">
        <v>Butterfly</v>
      </c>
    </row>
    <row r="14" spans="1:7">
      <c r="A14" t="s">
        <v>199</v>
      </c>
      <c r="F14" t="str">
        <v>Flexible</v>
      </c>
      <c r="G14" t="str">
        <v>Globe</v>
      </c>
    </row>
    <row r="15" spans="1:7">
      <c r="G15" t="str">
        <v>Gate</v>
      </c>
    </row>
    <row r="17" spans="1:2">
      <c r="A17" t="s">
        <v>225</v>
      </c>
      <c r="B17" t="s">
        <v>250</v>
      </c>
    </row>
    <row r="18" spans="1:2">
      <c r="A18" t="s">
        <v>246</v>
      </c>
      <c r="B18">
        <v>4</v>
      </c>
    </row>
    <row r="19" spans="1:2">
      <c r="A19" t="s">
        <v>247</v>
      </c>
      <c r="B19">
        <v>2</v>
      </c>
    </row>
    <row r="20" spans="1:2">
      <c r="A20" t="s">
        <v>248</v>
      </c>
      <c r="B20">
        <v>1</v>
      </c>
    </row>
    <row r="21" spans="1:2">
      <c r="A21" t="s">
        <v>249</v>
      </c>
      <c r="B21">
        <v>0.2</v>
      </c>
    </row>
  </sheetData>
  <mergeCells count="1">
    <mergeCell ref="A1:C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H25"/>
  <sheetViews>
    <sheetView workbookViewId="0">
      <selection activeCell="J9" sqref="J9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5" width="17.5546875" customWidth="1"/>
    <col min="6" max="6" width="12" bestFit="1" customWidth="1"/>
    <col min="7" max="7" width="20.5546875" bestFit="1" customWidth="1"/>
    <col min="8" max="8" width="12.5546875" customWidth="1"/>
  </cols>
  <sheetData>
    <row r="1" spans="1:8" ht="18">
      <c r="A1" s="54" t="s">
        <v>200</v>
      </c>
      <c r="B1" s="53"/>
      <c r="C1" s="53"/>
      <c r="D1" s="53"/>
      <c r="E1" s="53"/>
    </row>
    <row r="2" spans="1:8">
      <c r="A2" s="42" t="s">
        <v>147</v>
      </c>
      <c r="B2" s="34" t="s">
        <v>148</v>
      </c>
      <c r="C2" s="34" t="s">
        <v>5</v>
      </c>
      <c r="D2" s="34" t="s">
        <v>138</v>
      </c>
      <c r="E2" s="35" t="s">
        <v>201</v>
      </c>
      <c r="F2" s="35" t="s">
        <v>251</v>
      </c>
      <c r="G2" s="35" t="s">
        <v>252</v>
      </c>
      <c r="H2" s="47" t="s">
        <v>253</v>
      </c>
    </row>
    <row r="3" spans="1:8" s="50" customFormat="1" ht="26.4" customHeight="1">
      <c r="A3" s="48" t="s">
        <v>202</v>
      </c>
      <c r="B3" s="49"/>
      <c r="C3" s="49"/>
      <c r="D3" s="49"/>
      <c r="E3" s="50" t="s">
        <v>232</v>
      </c>
      <c r="F3" s="50" t="s">
        <v>233</v>
      </c>
      <c r="G3" s="50" t="s">
        <v>234</v>
      </c>
      <c r="H3" s="50" t="s">
        <v>233</v>
      </c>
    </row>
    <row r="4" spans="1:8">
      <c r="A4" s="43" t="s">
        <v>160</v>
      </c>
      <c r="B4" s="36" t="s">
        <v>149</v>
      </c>
      <c r="C4" s="36" t="s">
        <v>150</v>
      </c>
      <c r="D4" s="36" t="s">
        <v>203</v>
      </c>
      <c r="E4" s="45"/>
      <c r="F4" s="45"/>
      <c r="G4" s="46"/>
      <c r="H4" s="45"/>
    </row>
    <row r="5" spans="1:8">
      <c r="A5" s="43" t="s">
        <v>236</v>
      </c>
      <c r="B5" s="36" t="s">
        <v>168</v>
      </c>
      <c r="C5" s="36" t="s">
        <v>155</v>
      </c>
      <c r="D5" s="36" t="s">
        <v>204</v>
      </c>
      <c r="E5" s="46"/>
      <c r="F5" s="46"/>
      <c r="G5" s="45"/>
      <c r="H5" s="46"/>
    </row>
    <row r="6" spans="1:8">
      <c r="A6" s="43" t="s">
        <v>161</v>
      </c>
      <c r="B6" s="36" t="s">
        <v>162</v>
      </c>
      <c r="C6" s="36" t="s">
        <v>163</v>
      </c>
      <c r="D6" s="36" t="s">
        <v>205</v>
      </c>
      <c r="E6" s="45"/>
      <c r="F6" s="46"/>
      <c r="G6" s="46"/>
      <c r="H6" s="46"/>
    </row>
    <row r="7" spans="1:8">
      <c r="A7" s="43" t="s">
        <v>172</v>
      </c>
      <c r="B7" s="36" t="s">
        <v>153</v>
      </c>
      <c r="C7" s="36" t="s">
        <v>152</v>
      </c>
      <c r="D7" s="36" t="s">
        <v>206</v>
      </c>
      <c r="E7" s="45"/>
      <c r="F7" s="46"/>
      <c r="G7" s="45"/>
      <c r="H7" s="46"/>
    </row>
    <row r="8" spans="1:8">
      <c r="A8" s="43" t="s">
        <v>173</v>
      </c>
      <c r="B8" s="36" t="s">
        <v>151</v>
      </c>
      <c r="C8" s="36" t="s">
        <v>152</v>
      </c>
      <c r="D8" s="36" t="s">
        <v>206</v>
      </c>
      <c r="E8" s="45"/>
      <c r="F8" s="46"/>
      <c r="G8" s="45"/>
      <c r="H8" s="46"/>
    </row>
    <row r="9" spans="1:8">
      <c r="A9" s="43" t="s">
        <v>238</v>
      </c>
      <c r="B9" s="36" t="s">
        <v>156</v>
      </c>
      <c r="C9" s="36" t="s">
        <v>157</v>
      </c>
      <c r="D9" s="36" t="s">
        <v>207</v>
      </c>
      <c r="E9" s="45"/>
      <c r="F9" s="46"/>
      <c r="G9" s="46"/>
      <c r="H9" s="46"/>
    </row>
    <row r="10" spans="1:8">
      <c r="A10" s="43" t="s">
        <v>174</v>
      </c>
      <c r="B10" s="36" t="s">
        <v>169</v>
      </c>
      <c r="C10" s="36" t="s">
        <v>157</v>
      </c>
      <c r="D10" s="36" t="s">
        <v>208</v>
      </c>
      <c r="E10" s="45"/>
      <c r="F10" s="46"/>
      <c r="G10" s="46"/>
      <c r="H10" s="46"/>
    </row>
    <row r="11" spans="1:8">
      <c r="A11" s="43" t="s">
        <v>175</v>
      </c>
      <c r="B11" s="36" t="s">
        <v>158</v>
      </c>
      <c r="C11" s="36" t="s">
        <v>159</v>
      </c>
      <c r="D11" s="36" t="s">
        <v>209</v>
      </c>
      <c r="E11" s="45"/>
      <c r="F11" s="46"/>
      <c r="G11" s="46"/>
      <c r="H11" s="46"/>
    </row>
    <row r="12" spans="1:8">
      <c r="A12" s="43" t="s">
        <v>176</v>
      </c>
      <c r="B12" s="36" t="s">
        <v>177</v>
      </c>
      <c r="C12" s="36" t="s">
        <v>61</v>
      </c>
      <c r="D12" s="36" t="s">
        <v>204</v>
      </c>
      <c r="E12" s="46"/>
      <c r="F12" s="46"/>
      <c r="G12" s="45"/>
      <c r="H12" s="46"/>
    </row>
    <row r="13" spans="1:8">
      <c r="A13" s="43" t="s">
        <v>178</v>
      </c>
      <c r="B13" s="36" t="s">
        <v>164</v>
      </c>
      <c r="C13" s="36" t="s">
        <v>12</v>
      </c>
      <c r="D13" s="36" t="s">
        <v>210</v>
      </c>
      <c r="E13" s="45"/>
      <c r="F13" s="45"/>
      <c r="G13" s="46"/>
      <c r="H13" s="45"/>
    </row>
    <row r="14" spans="1:8">
      <c r="A14" s="43" t="s">
        <v>179</v>
      </c>
      <c r="B14" s="36" t="s">
        <v>180</v>
      </c>
      <c r="C14" s="36" t="s">
        <v>12</v>
      </c>
      <c r="D14" s="36" t="s">
        <v>211</v>
      </c>
      <c r="E14" s="45"/>
      <c r="F14" s="46"/>
      <c r="G14" s="46"/>
      <c r="H14" s="46"/>
    </row>
    <row r="15" spans="1:8">
      <c r="A15" s="43" t="s">
        <v>181</v>
      </c>
      <c r="B15" s="36" t="s">
        <v>165</v>
      </c>
      <c r="C15" s="36" t="s">
        <v>12</v>
      </c>
      <c r="D15" s="36" t="s">
        <v>212</v>
      </c>
      <c r="E15" s="46"/>
      <c r="F15" s="46"/>
      <c r="G15" s="46"/>
      <c r="H15" s="46"/>
    </row>
    <row r="16" spans="1:8">
      <c r="A16" s="43" t="s">
        <v>182</v>
      </c>
      <c r="B16" s="36" t="s">
        <v>171</v>
      </c>
      <c r="C16" s="36" t="s">
        <v>12</v>
      </c>
      <c r="D16" s="36" t="s">
        <v>213</v>
      </c>
      <c r="E16" s="46"/>
      <c r="F16" s="46"/>
      <c r="G16" s="46"/>
      <c r="H16" s="46"/>
    </row>
    <row r="17" spans="1:8">
      <c r="A17" s="43" t="s">
        <v>183</v>
      </c>
      <c r="B17" s="36" t="s">
        <v>184</v>
      </c>
      <c r="C17" s="36" t="s">
        <v>185</v>
      </c>
      <c r="D17" s="36" t="s">
        <v>214</v>
      </c>
      <c r="E17" s="46"/>
      <c r="F17" s="46"/>
      <c r="G17" s="45"/>
      <c r="H17" s="46"/>
    </row>
    <row r="18" spans="1:8">
      <c r="A18" s="43" t="s">
        <v>186</v>
      </c>
      <c r="B18" s="36" t="s">
        <v>154</v>
      </c>
      <c r="C18" s="36" t="s">
        <v>152</v>
      </c>
      <c r="D18" s="36" t="s">
        <v>215</v>
      </c>
      <c r="E18" s="45"/>
      <c r="F18" s="45"/>
      <c r="G18" s="45"/>
      <c r="H18" s="45"/>
    </row>
    <row r="19" spans="1:8">
      <c r="A19" s="43" t="s">
        <v>187</v>
      </c>
      <c r="B19" s="36" t="s">
        <v>170</v>
      </c>
      <c r="C19" s="36" t="s">
        <v>216</v>
      </c>
      <c r="D19" s="36" t="s">
        <v>217</v>
      </c>
      <c r="E19" s="45"/>
      <c r="F19" s="46"/>
      <c r="G19" s="46"/>
      <c r="H19" s="46"/>
    </row>
    <row r="20" spans="1:8">
      <c r="A20" s="43" t="s">
        <v>10</v>
      </c>
      <c r="B20" s="36" t="s">
        <v>188</v>
      </c>
      <c r="C20" s="36" t="s">
        <v>169</v>
      </c>
      <c r="D20" s="36" t="s">
        <v>210</v>
      </c>
      <c r="E20" s="46"/>
      <c r="F20" s="46"/>
      <c r="G20" s="45"/>
      <c r="H20" s="46"/>
    </row>
    <row r="21" spans="1:8">
      <c r="A21" s="43" t="s">
        <v>189</v>
      </c>
      <c r="B21" s="36" t="s">
        <v>166</v>
      </c>
      <c r="C21" s="36" t="s">
        <v>163</v>
      </c>
      <c r="D21" s="36" t="s">
        <v>218</v>
      </c>
      <c r="E21" s="45"/>
      <c r="F21" s="46"/>
      <c r="G21" s="46"/>
      <c r="H21" s="46"/>
    </row>
    <row r="22" spans="1:8">
      <c r="A22" s="43" t="s">
        <v>190</v>
      </c>
      <c r="B22" s="36" t="s">
        <v>167</v>
      </c>
      <c r="C22" s="36" t="s">
        <v>1</v>
      </c>
      <c r="D22" s="36" t="s">
        <v>219</v>
      </c>
      <c r="E22" s="46"/>
      <c r="F22" s="45"/>
      <c r="G22" s="45"/>
      <c r="H22" s="45"/>
    </row>
    <row r="23" spans="1:8">
      <c r="A23" s="43" t="s">
        <v>191</v>
      </c>
      <c r="B23" s="36" t="s">
        <v>155</v>
      </c>
      <c r="C23" s="36" t="s">
        <v>155</v>
      </c>
      <c r="D23" s="36" t="s">
        <v>220</v>
      </c>
      <c r="E23" s="45"/>
      <c r="F23" s="45"/>
      <c r="G23" s="45"/>
      <c r="H23" s="45"/>
    </row>
    <row r="24" spans="1:8">
      <c r="A24" s="43" t="s">
        <v>244</v>
      </c>
      <c r="B24" s="36" t="s">
        <v>193</v>
      </c>
      <c r="C24" s="36" t="s">
        <v>152</v>
      </c>
      <c r="D24" s="36" t="s">
        <v>221</v>
      </c>
      <c r="E24" s="45"/>
      <c r="F24" s="45"/>
      <c r="G24" s="45"/>
      <c r="H24" s="45"/>
    </row>
    <row r="25" spans="1:8">
      <c r="A25" s="43" t="s">
        <v>192</v>
      </c>
      <c r="B25" s="36" t="s">
        <v>155</v>
      </c>
      <c r="C25" s="36" t="s">
        <v>155</v>
      </c>
      <c r="D25" s="36" t="s">
        <v>220</v>
      </c>
      <c r="E25" s="45"/>
      <c r="F25" s="46"/>
      <c r="G25" s="46"/>
      <c r="H25" s="46"/>
    </row>
  </sheetData>
  <mergeCells count="1">
    <mergeCell ref="A1:E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1270-CCB0-4CB4-810B-78315FDD70FD}">
  <sheetPr codeName="Sheet2"/>
  <dimension ref="A2:F24"/>
  <sheetViews>
    <sheetView workbookViewId="0">
      <selection activeCell="D26" sqref="D26"/>
    </sheetView>
  </sheetViews>
  <sheetFormatPr defaultRowHeight="14.4"/>
  <cols>
    <col min="1" max="1" width="39.77734375" style="21" bestFit="1" customWidth="1"/>
    <col min="2" max="2" width="9.21875" style="21" customWidth="1"/>
    <col min="3" max="3" width="8.88671875" style="21"/>
    <col min="4" max="4" width="16.77734375" style="1" bestFit="1" customWidth="1"/>
    <col min="5" max="5" width="32.33203125" style="1" customWidth="1"/>
    <col min="6" max="6" width="23.21875" style="1" customWidth="1"/>
  </cols>
  <sheetData>
    <row r="2" spans="1:6">
      <c r="A2" s="40" t="s">
        <v>147</v>
      </c>
      <c r="B2" s="40" t="s">
        <v>148</v>
      </c>
      <c r="C2" s="40" t="s">
        <v>231</v>
      </c>
      <c r="D2" s="39" t="s">
        <v>232</v>
      </c>
      <c r="E2" s="39" t="s">
        <v>233</v>
      </c>
      <c r="F2" s="39" t="s">
        <v>234</v>
      </c>
    </row>
    <row r="3" spans="1:6">
      <c r="A3" s="41" t="s">
        <v>160</v>
      </c>
      <c r="B3" s="41" t="s">
        <v>149</v>
      </c>
      <c r="C3" s="41" t="s">
        <v>235</v>
      </c>
      <c r="D3" s="38">
        <v>1</v>
      </c>
      <c r="E3" s="38">
        <v>1</v>
      </c>
      <c r="F3" s="38">
        <v>0</v>
      </c>
    </row>
    <row r="4" spans="1:6">
      <c r="A4" s="41" t="s">
        <v>236</v>
      </c>
      <c r="B4" s="41" t="s">
        <v>168</v>
      </c>
      <c r="C4" s="41" t="s">
        <v>237</v>
      </c>
      <c r="D4" s="38">
        <v>0</v>
      </c>
      <c r="E4" s="38">
        <v>0</v>
      </c>
      <c r="F4" s="38">
        <v>1</v>
      </c>
    </row>
    <row r="5" spans="1:6">
      <c r="A5" s="41" t="s">
        <v>161</v>
      </c>
      <c r="B5" s="41" t="s">
        <v>162</v>
      </c>
      <c r="C5" s="41" t="s">
        <v>163</v>
      </c>
      <c r="D5" s="38">
        <v>1</v>
      </c>
      <c r="E5" s="38">
        <v>0</v>
      </c>
      <c r="F5" s="38">
        <v>0</v>
      </c>
    </row>
    <row r="6" spans="1:6">
      <c r="A6" s="41" t="s">
        <v>172</v>
      </c>
      <c r="B6" s="41" t="s">
        <v>153</v>
      </c>
      <c r="C6" s="41" t="s">
        <v>152</v>
      </c>
      <c r="D6" s="38">
        <v>1</v>
      </c>
      <c r="E6" s="38">
        <v>0</v>
      </c>
      <c r="F6" s="38">
        <v>1</v>
      </c>
    </row>
    <row r="7" spans="1:6">
      <c r="A7" s="41" t="s">
        <v>173</v>
      </c>
      <c r="B7" s="41" t="s">
        <v>151</v>
      </c>
      <c r="C7" s="41" t="s">
        <v>152</v>
      </c>
      <c r="D7" s="38">
        <v>1</v>
      </c>
      <c r="E7" s="38">
        <v>0</v>
      </c>
      <c r="F7" s="38">
        <v>1</v>
      </c>
    </row>
    <row r="8" spans="1:6">
      <c r="A8" s="41" t="s">
        <v>238</v>
      </c>
      <c r="B8" s="41" t="s">
        <v>239</v>
      </c>
      <c r="C8" s="41" t="s">
        <v>240</v>
      </c>
      <c r="D8" s="38">
        <v>1</v>
      </c>
      <c r="E8" s="38">
        <v>0</v>
      </c>
      <c r="F8" s="38">
        <v>0</v>
      </c>
    </row>
    <row r="9" spans="1:6">
      <c r="A9" s="41" t="s">
        <v>174</v>
      </c>
      <c r="B9" s="41" t="s">
        <v>169</v>
      </c>
      <c r="C9" s="41" t="s">
        <v>240</v>
      </c>
      <c r="D9" s="38">
        <v>1</v>
      </c>
      <c r="E9" s="38">
        <v>0</v>
      </c>
      <c r="F9" s="38">
        <v>0</v>
      </c>
    </row>
    <row r="10" spans="1:6">
      <c r="A10" s="41" t="s">
        <v>175</v>
      </c>
      <c r="B10" s="41" t="s">
        <v>158</v>
      </c>
      <c r="C10" s="41" t="s">
        <v>159</v>
      </c>
      <c r="D10" s="38">
        <v>1</v>
      </c>
      <c r="E10" s="38">
        <v>0</v>
      </c>
      <c r="F10" s="38">
        <v>0</v>
      </c>
    </row>
    <row r="11" spans="1:6">
      <c r="A11" s="41" t="s">
        <v>176</v>
      </c>
      <c r="B11" s="41" t="s">
        <v>177</v>
      </c>
      <c r="C11" s="41" t="s">
        <v>61</v>
      </c>
      <c r="D11" s="38">
        <v>0</v>
      </c>
      <c r="E11" s="38">
        <v>0</v>
      </c>
      <c r="F11" s="38">
        <v>1</v>
      </c>
    </row>
    <row r="12" spans="1:6">
      <c r="A12" s="41" t="s">
        <v>178</v>
      </c>
      <c r="B12" s="41" t="s">
        <v>164</v>
      </c>
      <c r="C12" s="41" t="s">
        <v>157</v>
      </c>
      <c r="D12" s="38">
        <v>1</v>
      </c>
      <c r="E12" s="38">
        <v>1</v>
      </c>
      <c r="F12" s="38">
        <v>0</v>
      </c>
    </row>
    <row r="13" spans="1:6">
      <c r="A13" s="41" t="s">
        <v>179</v>
      </c>
      <c r="B13" s="41" t="s">
        <v>180</v>
      </c>
      <c r="C13" s="41" t="s">
        <v>157</v>
      </c>
      <c r="D13" s="38">
        <v>1</v>
      </c>
      <c r="E13" s="38">
        <v>0</v>
      </c>
      <c r="F13" s="38">
        <v>0</v>
      </c>
    </row>
    <row r="14" spans="1:6">
      <c r="A14" s="41" t="s">
        <v>181</v>
      </c>
      <c r="B14" s="41" t="s">
        <v>165</v>
      </c>
      <c r="C14" s="41" t="s">
        <v>157</v>
      </c>
      <c r="D14" s="38">
        <v>0</v>
      </c>
      <c r="E14" s="38">
        <v>0</v>
      </c>
      <c r="F14" s="38">
        <v>0</v>
      </c>
    </row>
    <row r="15" spans="1:6">
      <c r="A15" s="41" t="s">
        <v>182</v>
      </c>
      <c r="B15" s="41" t="s">
        <v>241</v>
      </c>
      <c r="C15" s="41" t="s">
        <v>157</v>
      </c>
      <c r="D15" s="38">
        <v>0</v>
      </c>
      <c r="E15" s="38">
        <v>0</v>
      </c>
      <c r="F15" s="38">
        <v>0</v>
      </c>
    </row>
    <row r="16" spans="1:6">
      <c r="A16" s="41" t="s">
        <v>183</v>
      </c>
      <c r="B16" s="41" t="s">
        <v>184</v>
      </c>
      <c r="C16" s="41" t="s">
        <v>242</v>
      </c>
      <c r="D16" s="38">
        <v>0</v>
      </c>
      <c r="E16" s="38">
        <v>0</v>
      </c>
      <c r="F16" s="38">
        <v>1</v>
      </c>
    </row>
    <row r="17" spans="1:6">
      <c r="A17" s="41" t="s">
        <v>186</v>
      </c>
      <c r="B17" s="41" t="s">
        <v>154</v>
      </c>
      <c r="C17" s="41" t="s">
        <v>152</v>
      </c>
      <c r="D17" s="38">
        <v>1</v>
      </c>
      <c r="E17" s="38">
        <v>1</v>
      </c>
      <c r="F17" s="38">
        <v>1</v>
      </c>
    </row>
    <row r="18" spans="1:6">
      <c r="A18" s="41" t="s">
        <v>187</v>
      </c>
      <c r="B18" s="41" t="s">
        <v>170</v>
      </c>
      <c r="C18" s="41" t="s">
        <v>216</v>
      </c>
      <c r="D18" s="38">
        <v>1</v>
      </c>
      <c r="E18" s="38">
        <v>0</v>
      </c>
      <c r="F18" s="38">
        <v>0</v>
      </c>
    </row>
    <row r="19" spans="1:6">
      <c r="A19" s="41" t="s">
        <v>10</v>
      </c>
      <c r="B19" s="41" t="s">
        <v>188</v>
      </c>
      <c r="C19" s="41" t="s">
        <v>169</v>
      </c>
      <c r="D19" s="38">
        <v>0</v>
      </c>
      <c r="E19" s="38">
        <v>0</v>
      </c>
      <c r="F19" s="38">
        <v>1</v>
      </c>
    </row>
    <row r="20" spans="1:6">
      <c r="A20" s="41" t="s">
        <v>189</v>
      </c>
      <c r="B20" s="41" t="s">
        <v>166</v>
      </c>
      <c r="C20" s="41" t="s">
        <v>163</v>
      </c>
      <c r="D20" s="38">
        <v>1</v>
      </c>
      <c r="E20" s="38">
        <v>0</v>
      </c>
      <c r="F20" s="38">
        <v>0</v>
      </c>
    </row>
    <row r="21" spans="1:6">
      <c r="A21" s="41" t="s">
        <v>190</v>
      </c>
      <c r="B21" s="41" t="s">
        <v>167</v>
      </c>
      <c r="C21" s="41" t="s">
        <v>243</v>
      </c>
      <c r="D21" s="38">
        <v>0</v>
      </c>
      <c r="E21" s="38">
        <v>1</v>
      </c>
      <c r="F21" s="38">
        <v>1</v>
      </c>
    </row>
    <row r="22" spans="1:6">
      <c r="A22" s="41" t="s">
        <v>191</v>
      </c>
      <c r="B22" s="41" t="s">
        <v>237</v>
      </c>
      <c r="C22" s="41" t="s">
        <v>237</v>
      </c>
      <c r="D22" s="38">
        <v>1</v>
      </c>
      <c r="E22" s="38">
        <v>1</v>
      </c>
      <c r="F22" s="38">
        <v>1</v>
      </c>
    </row>
    <row r="23" spans="1:6">
      <c r="A23" s="36" t="s">
        <v>244</v>
      </c>
      <c r="B23" s="41" t="s">
        <v>237</v>
      </c>
      <c r="C23" s="41" t="s">
        <v>152</v>
      </c>
      <c r="D23" s="38">
        <v>1</v>
      </c>
      <c r="E23" s="38">
        <v>1</v>
      </c>
      <c r="F23" s="38">
        <v>1</v>
      </c>
    </row>
    <row r="24" spans="1:6">
      <c r="A24" s="41" t="s">
        <v>192</v>
      </c>
      <c r="B24" s="41" t="s">
        <v>237</v>
      </c>
      <c r="C24" s="41" t="s">
        <v>237</v>
      </c>
      <c r="D24" s="38">
        <v>1</v>
      </c>
      <c r="E24" s="38">
        <v>0</v>
      </c>
      <c r="F24" s="3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H2"/>
  <sheetViews>
    <sheetView workbookViewId="0">
      <selection activeCell="E18" sqref="E18"/>
    </sheetView>
  </sheetViews>
  <sheetFormatPr defaultRowHeight="14.4"/>
  <cols>
    <col min="1" max="1" width="20" customWidth="1"/>
    <col min="2" max="2" width="14" customWidth="1"/>
    <col min="3" max="6" width="16" customWidth="1"/>
    <col min="7" max="7" width="12" customWidth="1"/>
    <col min="8" max="8" width="26" customWidth="1"/>
  </cols>
  <sheetData>
    <row r="1" spans="1:8" ht="18">
      <c r="A1" s="54" t="s">
        <v>222</v>
      </c>
      <c r="B1" s="53"/>
      <c r="C1" s="53"/>
      <c r="D1" s="53"/>
      <c r="E1" s="53"/>
      <c r="F1" s="53"/>
      <c r="G1" s="53"/>
      <c r="H1" s="53"/>
    </row>
    <row r="2" spans="1:8">
      <c r="A2" s="44" t="s">
        <v>223</v>
      </c>
      <c r="B2" s="44" t="s">
        <v>224</v>
      </c>
      <c r="C2" s="44" t="s">
        <v>192</v>
      </c>
      <c r="D2" s="44" t="s">
        <v>225</v>
      </c>
      <c r="E2" s="44" t="s">
        <v>226</v>
      </c>
      <c r="F2" s="44" t="s">
        <v>227</v>
      </c>
      <c r="G2" s="44" t="s">
        <v>228</v>
      </c>
      <c r="H2" s="44" t="s">
        <v>229</v>
      </c>
    </row>
  </sheetData>
  <mergeCells count="1">
    <mergeCell ref="A1:H1"/>
  </mergeCells>
  <pageMargins left="0.75" right="0.75" top="1" bottom="1" header="0.5" footer="0.5"/>
  <headerFooter>
    <oddHeader>&amp;L&amp;"Calibri"&amp;10&amp;K000000 TechnipEnergies | General | Anyone - No Protection&amp;1#_x000D_</oddHeader>
  </headerFooter>
  <tableParts count="1">
    <tablePart r:id="rId1"/>
  </tableParts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AIV</vt:lpstr>
      <vt:lpstr>ValveList</vt:lpstr>
      <vt:lpstr>Data</vt:lpstr>
      <vt:lpstr>Inputs</vt:lpstr>
      <vt:lpstr>Ref</vt:lpstr>
      <vt:lpstr>Results</vt:lpstr>
      <vt:lpstr>AIV!_FilterDatabase</vt:lpstr>
      <vt:lpstr>CaseList</vt:lpstr>
      <vt:lpstr>SupportList</vt:lpstr>
      <vt:lpstr>ValveList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2025-10-02T15:48:02Z</dcterms:modified>
</cp:coreProperties>
</file>